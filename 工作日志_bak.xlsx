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tabRatio="658" firstSheet="8" activeTab="13"/>
  </bookViews>
  <sheets>
    <sheet name="工作任务" sheetId="1" r:id="rId1"/>
    <sheet name="交接表" sheetId="2" r:id="rId2"/>
    <sheet name="octopus需求" sheetId="3" r:id="rId3"/>
    <sheet name="工作6.8" sheetId="4" r:id="rId4"/>
    <sheet name="工作6.6" sheetId="5" r:id="rId5"/>
    <sheet name="2015日志" sheetId="6" r:id="rId6"/>
    <sheet name="2016计划" sheetId="7" r:id="rId7"/>
    <sheet name="会议记录" sheetId="8" r:id="rId8"/>
    <sheet name="学习计划" sheetId="9" r:id="rId9"/>
    <sheet name="任务工时统计" sheetId="10" r:id="rId10"/>
    <sheet name="环境" sheetId="11" r:id="rId11"/>
    <sheet name="license登记" sheetId="12" r:id="rId12"/>
    <sheet name="会议" sheetId="29" r:id="rId13"/>
    <sheet name="日志" sheetId="13" r:id="rId14"/>
    <sheet name="安全测试" sheetId="14" r:id="rId15"/>
    <sheet name="出差费用" sheetId="15" r:id="rId16"/>
    <sheet name="升级通知" sheetId="16" r:id="rId17"/>
    <sheet name="升级操作说明" sheetId="17" r:id="rId18"/>
    <sheet name="执行计划" sheetId="18" r:id="rId19"/>
    <sheet name="管理中心访问方式" sheetId="19" r:id="rId20"/>
    <sheet name="kettle转义" sheetId="20" r:id="rId21"/>
    <sheet name="食药监需求" sheetId="21" r:id="rId22"/>
    <sheet name="权限设计" sheetId="22" r:id="rId23"/>
    <sheet name="版本控制流程" sheetId="23" r:id="rId24"/>
    <sheet name="需求" sheetId="24" r:id="rId25"/>
    <sheet name="测试用例" sheetId="25" r:id="rId26"/>
    <sheet name="告警" sheetId="26" r:id="rId27"/>
  </sheets>
  <definedNames>
    <definedName name="_xlnm._FilterDatabase" localSheetId="5" hidden="1">'2015日志'!$A$1:$P$6</definedName>
    <definedName name="_xlnm._FilterDatabase" localSheetId="24" hidden="1">需求!$A$1:$H$18</definedName>
  </definedNames>
  <calcPr calcId="144525"/>
</workbook>
</file>

<file path=xl/comments1.xml><?xml version="1.0" encoding="utf-8"?>
<comments xmlns="http://schemas.openxmlformats.org/spreadsheetml/2006/main">
  <authors>
    <author>wuxinxue</author>
  </authors>
  <commentList>
    <comment ref="H2" authorId="0">
      <text>
        <r>
          <rPr>
            <sz val="9"/>
            <rFont val="宋体"/>
            <charset val="134"/>
          </rPr>
          <t>wuxinxue:
值越低，越重要</t>
        </r>
      </text>
    </comment>
  </commentList>
</comments>
</file>

<file path=xl/sharedStrings.xml><?xml version="1.0" encoding="utf-8"?>
<sst xmlns="http://schemas.openxmlformats.org/spreadsheetml/2006/main" count="5055" uniqueCount="2079">
  <si>
    <t>数据交换平台工作任务</t>
  </si>
  <si>
    <t>系统</t>
  </si>
  <si>
    <t>模块</t>
  </si>
  <si>
    <t>功能</t>
  </si>
  <si>
    <t>处理人员</t>
  </si>
  <si>
    <t>优先级</t>
  </si>
  <si>
    <t>状态</t>
  </si>
  <si>
    <t>问题、备注</t>
  </si>
  <si>
    <t>公共</t>
  </si>
  <si>
    <t>组件开发</t>
  </si>
  <si>
    <t>cs组件（solr、hbase）</t>
  </si>
  <si>
    <t>彭本，张士松</t>
  </si>
  <si>
    <t>已完成</t>
  </si>
  <si>
    <t>bs组件（solr、hbase、ftp、文本文件输出、获取文件名、CSV文件输入)</t>
  </si>
  <si>
    <t>陈辉梓、谢东平</t>
  </si>
  <si>
    <t>待开发</t>
  </si>
  <si>
    <t>hbase宽表输出（cs、bs）</t>
  </si>
  <si>
    <t>谢东平、张士松、何裔东</t>
  </si>
  <si>
    <t>多数据库类型</t>
  </si>
  <si>
    <t>增加达梦、sqlserver、mysql数据库的支持</t>
  </si>
  <si>
    <t>陈辉梓、吴新学</t>
  </si>
  <si>
    <t>集群管理</t>
  </si>
  <si>
    <t>ganglia整合方案的评估、开发（实现集群监控）</t>
  </si>
  <si>
    <t>进行中</t>
  </si>
  <si>
    <t>octopus整合方案的评估、开发（实现集群自动发布部署）</t>
  </si>
  <si>
    <t>刘军、吴新学</t>
  </si>
  <si>
    <t>整体</t>
  </si>
  <si>
    <t>资源库多数据库类型的支持（mybates或hibernate工具集成)</t>
  </si>
  <si>
    <t>吴新学</t>
  </si>
  <si>
    <t>贵州现场</t>
  </si>
  <si>
    <t>一个作业多转换模板接口设计与开发</t>
  </si>
  <si>
    <t>暂不做处理</t>
  </si>
  <si>
    <t>场景通用性待评估，暂不开发</t>
  </si>
  <si>
    <t>删除操作增加数据库日志</t>
  </si>
  <si>
    <t>吴新学，彭本</t>
  </si>
  <si>
    <t>kettle修改操作时的事务安全管理（失败的时候数据丢失）</t>
  </si>
  <si>
    <t>陈辉梓</t>
  </si>
  <si>
    <t>开发作业历史日志查询页面；</t>
  </si>
  <si>
    <t>解决kettle执行器访问日志数据库的权限问题（全部用户日志数据库可以访问)</t>
  </si>
  <si>
    <t>配置作业调度信息的时候可以指定它的失败处理机制</t>
  </si>
  <si>
    <t>BS设计器设计worker时转换路径显示不匹配；</t>
  </si>
  <si>
    <t>谢东平</t>
  </si>
  <si>
    <t>ganger</t>
  </si>
  <si>
    <t>优化(数据库连接池管理，状态反馈增加作业执行workerid）</t>
  </si>
  <si>
    <t>问题（作业有时停止后启动不了，重启时runningqueue仍取到值；重启时会重新启动之前的任务；）</t>
  </si>
  <si>
    <t>worker</t>
  </si>
  <si>
    <t>增加维护状态（维护状态不接收作业，指定立即还是等待作业完成)</t>
  </si>
  <si>
    <t>batchid通过序列来生成，避免锁表</t>
  </si>
  <si>
    <t>解决增加kettle应用log4j记录日志，解决作业加载异常时日志未记录的问题</t>
  </si>
  <si>
    <t>kettle在大字段更新时，如果原数据为空，无法更新，报错</t>
  </si>
  <si>
    <t>目前已解决，后续再排查根本原因；</t>
  </si>
  <si>
    <t>食药监数据交换平台</t>
  </si>
  <si>
    <t>管理中心</t>
  </si>
  <si>
    <t>对交换平台核心功能进行提取整理，并优化资源管理等相关功能</t>
  </si>
  <si>
    <t>删除用户同步处理</t>
  </si>
  <si>
    <t>BS设计器</t>
  </si>
  <si>
    <r>
      <rPr>
        <sz val="10"/>
        <rFont val="Arial"/>
        <charset val="134"/>
      </rPr>
      <t xml:space="preserve">Web </t>
    </r>
    <r>
      <rPr>
        <sz val="10"/>
        <rFont val="宋体"/>
        <charset val="134"/>
      </rPr>
      <t>服务查询组件</t>
    </r>
    <r>
      <rPr>
        <sz val="10"/>
        <rFont val="Arial"/>
        <charset val="134"/>
      </rPr>
      <t>bs</t>
    </r>
  </si>
  <si>
    <r>
      <rPr>
        <sz val="10"/>
        <rFont val="宋体"/>
        <charset val="134"/>
      </rPr>
      <t>定制Web 服务查询组件</t>
    </r>
    <r>
      <rPr>
        <sz val="10"/>
        <rFont val="Arial"/>
        <charset val="134"/>
      </rPr>
      <t>cs</t>
    </r>
    <r>
      <rPr>
        <sz val="10"/>
        <rFont val="宋体"/>
        <charset val="134"/>
      </rPr>
      <t>、</t>
    </r>
    <r>
      <rPr>
        <sz val="10"/>
        <rFont val="Arial"/>
        <charset val="134"/>
      </rPr>
      <t>bs</t>
    </r>
  </si>
  <si>
    <t>项目</t>
  </si>
  <si>
    <t>事项</t>
  </si>
  <si>
    <t>对接人</t>
  </si>
  <si>
    <t>当前进度</t>
  </si>
  <si>
    <t>佛山地税</t>
  </si>
  <si>
    <t>业务到缓冲库抽取配置（全量、增量）</t>
  </si>
  <si>
    <t>胡启明</t>
  </si>
  <si>
    <t>下周现场实施、保证平台稳定</t>
  </si>
  <si>
    <t>缓冲到标准库（MPP）抽取配置（全量、增量）</t>
  </si>
  <si>
    <t>MPP到hbase抽取*</t>
  </si>
  <si>
    <t>MPP到neo4j抽取</t>
  </si>
  <si>
    <t>海南社保</t>
  </si>
  <si>
    <t>接口测试、联调</t>
  </si>
  <si>
    <t>武警</t>
  </si>
  <si>
    <t>基本开发完，待测试联调</t>
  </si>
  <si>
    <t>禅城社保</t>
  </si>
  <si>
    <t>内存溢出造成worker退出问题</t>
  </si>
  <si>
    <t>廖晨曦</t>
  </si>
  <si>
    <t>建议修改jvm内存，待现场测试后反馈</t>
  </si>
  <si>
    <t>昆明公安厅</t>
  </si>
  <si>
    <t>内存溢出造成worker退出没有重启</t>
  </si>
  <si>
    <t>马骏</t>
  </si>
  <si>
    <t>正在获取现场启动和重启脚本</t>
  </si>
  <si>
    <t>食药监</t>
  </si>
  <si>
    <t>数据批量输出时有一个批次没提交</t>
  </si>
  <si>
    <t>梁杰</t>
  </si>
  <si>
    <t>待梁杰确认反馈</t>
  </si>
  <si>
    <r>
      <rPr>
        <b/>
        <sz val="16"/>
        <rFont val="Arial"/>
        <charset val="134"/>
      </rPr>
      <t>Octopus</t>
    </r>
    <r>
      <rPr>
        <b/>
        <sz val="16"/>
        <rFont val="宋体"/>
        <charset val="134"/>
      </rPr>
      <t>需求</t>
    </r>
  </si>
  <si>
    <t>提供接口</t>
  </si>
  <si>
    <t>说明</t>
  </si>
  <si>
    <t>备注</t>
  </si>
  <si>
    <t>主机监控</t>
  </si>
  <si>
    <r>
      <rPr>
        <sz val="10"/>
        <rFont val="Arial"/>
        <charset val="134"/>
      </rPr>
      <t>cpu</t>
    </r>
    <r>
      <rPr>
        <sz val="10"/>
        <rFont val="宋体"/>
        <charset val="134"/>
      </rPr>
      <t>监控</t>
    </r>
  </si>
  <si>
    <t>octopus</t>
  </si>
  <si>
    <r>
      <rPr>
        <sz val="10"/>
        <rFont val="宋体"/>
        <charset val="134"/>
      </rPr>
      <t>定时发布节点</t>
    </r>
    <r>
      <rPr>
        <sz val="10"/>
        <rFont val="Arial"/>
        <charset val="134"/>
      </rPr>
      <t>cpu</t>
    </r>
    <r>
      <rPr>
        <sz val="10"/>
        <rFont val="宋体"/>
        <charset val="134"/>
      </rPr>
      <t>使用情况</t>
    </r>
  </si>
  <si>
    <t>业务系统监控服务注册(发布条件， 提供通知接口)</t>
  </si>
  <si>
    <t>内存监控</t>
  </si>
  <si>
    <t>定时发布节点内存使用情况</t>
  </si>
  <si>
    <t>网络监控</t>
  </si>
  <si>
    <t>定时发布节点网络吞吐情况</t>
  </si>
  <si>
    <t>主机管理</t>
  </si>
  <si>
    <t>主机信息获取</t>
  </si>
  <si>
    <t>获取主机信息（操作系统、cpu信息、内存、磁盘、网络等）的功能</t>
  </si>
  <si>
    <t>命令执行</t>
  </si>
  <si>
    <t xml:space="preserve">提供执行系统命令的功能，ping, ll /home/data, cp </t>
  </si>
  <si>
    <t>文件管理</t>
  </si>
  <si>
    <t>提供文件下载、上传、删除等操作</t>
  </si>
  <si>
    <t>故障处理</t>
  </si>
  <si>
    <t>无</t>
  </si>
  <si>
    <t>网络故障排除（邻点监测）</t>
  </si>
  <si>
    <t>程序管理</t>
  </si>
  <si>
    <t>程序发布、卸载</t>
  </si>
  <si>
    <t>程序发布后，自动分发到节点（邻点分发）</t>
  </si>
  <si>
    <t>启动、停止、监测等</t>
  </si>
  <si>
    <t>程序升级</t>
  </si>
  <si>
    <t>根据提供的目录，自行解压程序包</t>
  </si>
  <si>
    <t>功能需求</t>
  </si>
  <si>
    <t>测试方式</t>
  </si>
  <si>
    <t>组件</t>
  </si>
  <si>
    <t>cs组件（HBASE OUTPUT, HBASE INPUT, SOLR OUTPUT）</t>
  </si>
  <si>
    <t>已做，在测</t>
  </si>
  <si>
    <t>bs设计器组件（HBASE OUTPUT， HBASE INPUT, SOLR OUTPUT）</t>
  </si>
  <si>
    <t>调度问题处理（作业有时停止后启动不了；重启时会重新启动之前的任务；）</t>
  </si>
  <si>
    <t>1.在管理中心进行作业的重启，观察会不会出现停止后启动失败现象；
2.重启ganger时，确认未到时间的作业不会启动，已经过时的作业则立即启动；</t>
  </si>
  <si>
    <t>已改，在测</t>
  </si>
  <si>
    <t>管理页面可以获取每个worker各个作业的执行状态，状态反馈增加作业执行workerid</t>
  </si>
  <si>
    <t>日志重复问题</t>
  </si>
  <si>
    <t>启动多个作业（包含不存在的作业,启动时会加载异常)，观察是否会出现重复的日志</t>
  </si>
  <si>
    <t>优化ganger(数据库连接池管理）</t>
  </si>
  <si>
    <t>作业状态未更新（实际已执行，但状态显示排队中）</t>
  </si>
  <si>
    <t>管理中心页面作业名查询后，点下一页进行换页，作业名的条件无效问题</t>
  </si>
  <si>
    <t>编写交换平台故障处理手册；（可能问题、调优、操作方法）</t>
  </si>
  <si>
    <t>食药监更新框架补丁因为覆盖CONFIGURATION类而造成ganger配置异常，需优化ganger的配置文件</t>
  </si>
  <si>
    <t>kettle性能白皮书</t>
  </si>
  <si>
    <t>进行评审，编写测试案例</t>
  </si>
  <si>
    <t>框架评审（跨浏览器、可扩展性、样式替换、处理速度、关键技术、多种数据库类型支持)</t>
  </si>
  <si>
    <t>监控页面（3个主机、作业、数据可视化）需求整理、设计原型</t>
  </si>
  <si>
    <t>清理生产管理平台缺陷</t>
  </si>
  <si>
    <t>谢东平、陈辉梓、何裔东</t>
  </si>
  <si>
    <t>优化kettle事务安全管理，避免修改操作失败时发生数据丢失</t>
  </si>
  <si>
    <t>优化kettle执行器访问日志数据库的权限问题（全部用户日志数据库可以访问)</t>
  </si>
  <si>
    <t>kettle对数据类型插件的容错（某个数据库配置的类型无对应插件时，整个数据库配置出错不能显示）</t>
  </si>
  <si>
    <t>kettle应用log4j记录日志，解决作业加载异常时日志未记录的问题</t>
  </si>
  <si>
    <t>优化作业日志，加载失败仍有日志记录；</t>
  </si>
  <si>
    <t>日期</t>
  </si>
  <si>
    <t>加班</t>
  </si>
  <si>
    <t>工作内容</t>
  </si>
  <si>
    <t>存在问题及解决办法</t>
  </si>
  <si>
    <t>5.18</t>
  </si>
  <si>
    <t>1. 研究KETTLE远程调用转换；
2. JAVA API源码提交和启动本地转换；</t>
  </si>
  <si>
    <t>1. C/S和B/S模式的代码分析差异较大，需要充分的调试；</t>
  </si>
  <si>
    <t>1. JAVA API源码提交和启动本地作业；</t>
  </si>
  <si>
    <t>1. 加载配置文件的资源库进行操作通过，但是加载数据库的资源库进行操作时出现异常，分析配置文件后发现要修改数据库的连接地址（localhost）；</t>
  </si>
  <si>
    <t>5.20</t>
  </si>
  <si>
    <t>1. 研究KETTLE远程调用作业；
2. 使用spoon图形界面配置远程job，提交远程job；</t>
  </si>
  <si>
    <t>1. 底层为HTTP协议的XML报文进行通信，需要了解报文结构；
2. 远程调用需要考虑资源库配置文件是否一致且能启动时加载，还要考虑数据库的访问（资源库加载时访问和转换时访问）；</t>
  </si>
  <si>
    <t>1. 研究远程启动、停止作业的源码
2. 实现源码对远程作业进行启动、停止操作</t>
  </si>
  <si>
    <t>5.22</t>
  </si>
  <si>
    <t>1. 研究远程提交、删除作业的方式源码
2. 实现源码对作业进行远程提交、删除</t>
  </si>
  <si>
    <t>1. 需要将对应的资源库配置文件放到远程服务器的kettle默认目录或安装目录下;
2. 提交作业时，需把资源库对象和服务端对象放入函数，利用原生代码对参数进行解析后再封装成xml;</t>
  </si>
  <si>
    <t>5.25</t>
  </si>
  <si>
    <t>1. 为转换配置日志数据库，验证是否能实现数据统计；</t>
  </si>
  <si>
    <t>1. kettle原程序中跨系统api远程获取日志时，会产生中文乱码；修改HttpUtil类部分源码解决乱码问题；
2. 数据库中日志不是按预期的结构处理，可能需要另行编码；</t>
  </si>
  <si>
    <t>5.26</t>
  </si>
  <si>
    <t>1. 分析作业日志的数据结构
2. 模拟大数据量的ETL操作，研究作业和转换的日志处理</t>
  </si>
  <si>
    <t>5.27</t>
  </si>
  <si>
    <t>1. 源码分析日志的记录操作和查询操作；</t>
  </si>
  <si>
    <t>5.28</t>
  </si>
  <si>
    <t>1. 作业、转换、步骤三个级别的日志处理分析</t>
  </si>
  <si>
    <t>1. 从步骤级别的日志可以获取到各个步骤的数据量统计，但是一些数据结构需要我们进行优化</t>
  </si>
  <si>
    <t>5.29</t>
  </si>
  <si>
    <t>1. 测试实现非容器模式下多作业运行代码；
2. 研究tomcat容器下实现作业的调度；</t>
  </si>
  <si>
    <t>1. tomcat容器下，除了用servlet实现作业的启动和停止操作，还需要实现作业的管理容器；</t>
  </si>
  <si>
    <t>6.1</t>
  </si>
  <si>
    <t>1. 研究Carte源码及启动的初始化工作；
2. 研究tomcat容器下实现作业的调度；</t>
  </si>
  <si>
    <t>6.2</t>
  </si>
  <si>
    <t>1. 源码实现tomcat容器下启动和停止转换；</t>
  </si>
  <si>
    <t>1. 可以通过tomcat容器操作转换了。一些问题需要优化：日志；提交作业比较麻烦，web应用端需要部署kettle环境；</t>
  </si>
  <si>
    <t>6.3</t>
  </si>
  <si>
    <t>1. 研究tomcat容器下日志记录；
2. 换电脑，重新安装和部署系统环境；</t>
  </si>
  <si>
    <t>1. 容器的日志记录是沿用kettle原来的处理机制，或是要重新设计；（6月4日：考虑kettle版本兼容性等问题，选择沿用kettle的机制。）</t>
  </si>
  <si>
    <t>6.4</t>
  </si>
  <si>
    <t>1. 重新部署一次kettle、tomcat、数据库，搭建整体环境；</t>
  </si>
  <si>
    <t>1. 全新环境的环境部署需留意：数据库的驱动包，资源库配置文件和kettle资源库环境配置；
2. kettle的客户端远程添加trans需要把配置信息全部组装成xml报文发送到执行节点，研究客户端不用处理配置，由执行节点自行获取配置；（6月5日：此问题已解决）</t>
  </si>
  <si>
    <t>6.5</t>
  </si>
  <si>
    <t>1. 优化tomcat容器下提交trans，类似于本地提交，但是在容器里注册；
2. 源码实现trans去除操作的公共接口；</t>
  </si>
  <si>
    <t>6.10</t>
  </si>
  <si>
    <t>1. 开发集群模式下trans的操作源码；
2. 讨论worker实现接口；参与团队产品开发设计、确定相应开发任务列表；</t>
  </si>
  <si>
    <t>6.11</t>
  </si>
  <si>
    <t>1. 调整优化tomcat项目目录及结构；
2. 讨论并确定TaskWatcher接口的统一实现；</t>
  </si>
  <si>
    <t>6.12</t>
  </si>
  <si>
    <t>1. 通过maven构建交换平台worker端；
2. 原trans和job都是独立的实体，考虑上层类兼容二者（包括taskWatcher的处理）；</t>
  </si>
  <si>
    <t xml:space="preserve">1. job执行完成的数据量以最后trans的计算为准；
</t>
  </si>
  <si>
    <t>6.14</t>
  </si>
  <si>
    <t>4h（14:00-18:00）</t>
  </si>
  <si>
    <t>1. Task编码，对trans和job进行封装； TaskStatus编码，对Status进行封装；</t>
  </si>
  <si>
    <t>6.15</t>
  </si>
  <si>
    <t>1. TaskExecutor对job做兼容处理；
2. worker端executer单元测试；</t>
  </si>
  <si>
    <t>6.16</t>
  </si>
  <si>
    <t>1. worker端executer单元测试；</t>
  </si>
  <si>
    <t>1. 非kettle源码客户端测试链接worker时，报“Exception in thread "main" java.lang.NullPointerException
 at org.pentaho.di.core.encryption.Encr.decryptPasswordOptionallyEncrypted(Encr.java:175)”,经查源码和kettle程序的部分类不一致，对网络访问的安全处理不一致。手工修改execService代码后，测试OK</t>
  </si>
  <si>
    <t>6.17</t>
  </si>
  <si>
    <t>1. 远程调用executer测试；</t>
  </si>
  <si>
    <t>1. 远程调用时，出现启动任务失败；开始以为程序有问题，后来排查程序启动过程中初始化repositories时，根据repositoriyName获取到的repositoriy根本为空，后回想更换电脑后，repositories的名字有更换，检查果然发现repositories.xml的repositoriyName与repositories.properties不一致，修改后问题解决。</t>
  </si>
  <si>
    <t>6.18</t>
  </si>
  <si>
    <t>1. 集成knob 到 pdi-engine，准备联调；
2. 处理接口问题，一些接口数据结构的调整；</t>
  </si>
  <si>
    <t xml:space="preserve">1. knob的work-core编译打包失败，后从knob的总目录进行package成功;
</t>
  </si>
  <si>
    <t>6.19</t>
  </si>
  <si>
    <t>1. 整理并提交pdi-engine工程到svn;
2. 分析kettle的任务清理问题，kettle本身带有任务清理，只需添加阀值配置，并在应用启动时调用对应接口进行配置；
3. kettle和资源数据库有连接超时限制，一定时间后连接关闭，与资源库相应的操作会发生错误，添加自动重连的配置，观察问题是否解决；</t>
  </si>
  <si>
    <t>6.22</t>
  </si>
  <si>
    <t>3.5h</t>
  </si>
  <si>
    <t>1. 整理pdi-engine程序包，进行远程调用测试；</t>
  </si>
  <si>
    <t>6.23</t>
  </si>
  <si>
    <t>1. kettle和资源数据库有连接超时限制，一定时间后连接关闭，与资源库相应的操作会发生错误，添加自动重连的配置，观察问题是否解决；
2. 加入本哥完成的kettle-core和kettle-engine包进行联调；</t>
  </si>
  <si>
    <t>6.24</t>
  </si>
  <si>
    <t>参加新员工入职培训</t>
  </si>
  <si>
    <t>6.25</t>
  </si>
  <si>
    <t>参加软件新员工上岗培训</t>
  </si>
  <si>
    <t>6.26</t>
  </si>
  <si>
    <t>1. 实现TaskExecutor.isFullLoad()方法，获取系统内存是否过载；
2. 优化应用的配置文件，和松哥的worker程序对接；</t>
  </si>
  <si>
    <t>6.29</t>
  </si>
  <si>
    <t>1. 和松哥联调测试数据交换平台pdi-engine程序；</t>
  </si>
  <si>
    <t>6.30</t>
  </si>
  <si>
    <t>1. 上午请事假；
2. 参加新员工培训和软件员工培训考试；</t>
  </si>
  <si>
    <t>7.1</t>
  </si>
  <si>
    <t>1. 解决不能打断job任务的问题；</t>
  </si>
  <si>
    <t>1. JOB任务启动后，进行打断，job被打断了，但是JOB里已经启动的trans仍继续运行；分析源码，发现打断只是修改了本JOB里的一个标志位，下级的trans没影响；</t>
  </si>
  <si>
    <t>7.2</t>
  </si>
  <si>
    <t>1. 解决不能打断job任务的问题；
2. 和松哥进行接口联调，修整部分代码；</t>
  </si>
  <si>
    <t>1. 分析源码发现可以遍历job下属的trans,对trans进行打断；但是需要在添加job时设置交互开启；</t>
  </si>
  <si>
    <t>7.3</t>
  </si>
  <si>
    <t>1. 和松哥联调测试；
2. 优化任务添加启动部分代码;</t>
  </si>
  <si>
    <t>7.6</t>
  </si>
  <si>
    <t>1. 优化系统环境的是否满载判断,增加阀值可配置；</t>
  </si>
  <si>
    <t>7.7</t>
  </si>
  <si>
    <t>1. 研究获取系统环境信息的接口，以便于系统的安装调试和程序监控；</t>
  </si>
  <si>
    <t>7.8</t>
  </si>
  <si>
    <t>1. 实现获取系统环境信息的接口实现，引入sigar工具包对系统环境信息进行获取；</t>
  </si>
  <si>
    <t>7.9</t>
  </si>
  <si>
    <t>1. 进行满载、获取系统信息接口的测试；</t>
  </si>
  <si>
    <t>7.10</t>
  </si>
  <si>
    <t>1. 与松哥沟通确认交换平台系统架构和部署方式：ganger(master) + worker(follower);
2. 帮松哥研究任务队列的持久化处理;</t>
  </si>
  <si>
    <t>7.13</t>
  </si>
  <si>
    <t>1. 编码实现持久化处理；</t>
  </si>
  <si>
    <t>7.14</t>
  </si>
  <si>
    <t>1. 到达封闭场所，做好环境准备工作；</t>
  </si>
  <si>
    <t>8.6</t>
  </si>
  <si>
    <t>整理svn中管理中心和worker工程代码，整合tomcat服务器；调试交换平台的系统启动及部署；开发更新作业状态的接口并调试；</t>
  </si>
  <si>
    <t>数据交换平台 及 数据中心 2016年研发计划</t>
  </si>
  <si>
    <t>阶段</t>
  </si>
  <si>
    <t>序号</t>
  </si>
  <si>
    <t>内容</t>
  </si>
  <si>
    <t>产出物</t>
  </si>
  <si>
    <t>人员配备</t>
  </si>
  <si>
    <t>人员计划</t>
  </si>
  <si>
    <t>重要度</t>
  </si>
  <si>
    <t>计划完成时间</t>
  </si>
  <si>
    <t>数据交换平台</t>
  </si>
  <si>
    <t>单机版
系统优化</t>
  </si>
  <si>
    <t>单机版实现数据交换平台，便于业务系统部署；要求单机版同时兼容分布式的部署方式，实现各模块松耦合及快捷切换；</t>
  </si>
  <si>
    <t>单机版交换平台V1.1</t>
  </si>
  <si>
    <t>设计师[1]</t>
  </si>
  <si>
    <t>数据交换平台管理中心的核心框架改造：基于SpringMVC框架，进行轻量级封装，实现轻部署，降低系统的资源消耗和部署的配置门槛；</t>
  </si>
  <si>
    <t>数据交换平台V1.1</t>
  </si>
  <si>
    <t>定制模型生成流程的标准化处理；</t>
  </si>
  <si>
    <t>平台模板开发手册
数据交换平台V1.1</t>
  </si>
  <si>
    <t>AGENT集成
优化部署</t>
  </si>
  <si>
    <t>优化部署方式，应用SHELL脚本方式实现一个配置文件即可实现整体部署；</t>
  </si>
  <si>
    <t>数据交换平台V1.2
平台部署手册V1.2</t>
  </si>
  <si>
    <t>数据交换平台应用AGENT框架集成，力求实现系统自动升级部署、系统资源监控；</t>
  </si>
  <si>
    <t>数据交换平台V1.2</t>
  </si>
  <si>
    <r>
      <rPr>
        <b/>
        <sz val="10"/>
        <rFont val="宋体"/>
        <charset val="134"/>
      </rPr>
      <t>架构师x1</t>
    </r>
    <r>
      <rPr>
        <sz val="10"/>
        <rFont val="宋体"/>
        <charset val="134"/>
      </rPr>
      <t xml:space="preserve">
吴新学
</t>
    </r>
    <r>
      <rPr>
        <b/>
        <sz val="10"/>
        <rFont val="宋体"/>
        <charset val="134"/>
      </rPr>
      <t>程序员x1</t>
    </r>
  </si>
  <si>
    <t>架构师[1]
设计师[1]
程序员[1]</t>
  </si>
  <si>
    <t>交换平台用户权限管理改造：
1. 管理中心独立登录页面及权限管理，提供添加用户的接口，业务系统调用接口对用户进行管理；
2. BS设计器独立登录页面及权限管理，统一权限认证；</t>
  </si>
  <si>
    <t>数据交换平台V1.3</t>
  </si>
  <si>
    <r>
      <rPr>
        <sz val="10"/>
        <rFont val="宋体"/>
        <charset val="134"/>
      </rPr>
      <t xml:space="preserve">陈古文
吴新学
</t>
    </r>
    <r>
      <rPr>
        <b/>
        <sz val="10"/>
        <rFont val="宋体"/>
        <charset val="134"/>
      </rPr>
      <t>程序员x1</t>
    </r>
  </si>
  <si>
    <t>设计师[2]
程序员[1]</t>
  </si>
  <si>
    <t>前端优化</t>
  </si>
  <si>
    <t>改造管理中心前台界面，优化数据监控、数据统计、图表展示的前端页面效果；</t>
  </si>
  <si>
    <r>
      <rPr>
        <sz val="10"/>
        <rFont val="宋体"/>
        <charset val="134"/>
      </rPr>
      <t xml:space="preserve">吴新学
</t>
    </r>
    <r>
      <rPr>
        <b/>
        <sz val="10"/>
        <rFont val="宋体"/>
        <charset val="134"/>
      </rPr>
      <t>UI设计x1</t>
    </r>
  </si>
  <si>
    <t>设计师[1]
UI设计[1]</t>
  </si>
  <si>
    <t>数据中心
V1.0</t>
  </si>
  <si>
    <t>需求</t>
  </si>
  <si>
    <t>深入调研数据中心的整体功能需求，分析数据中心的业务场景及应用方式，确定数据中心的产品功能要求</t>
  </si>
  <si>
    <t>数据中心需求文档</t>
  </si>
  <si>
    <t>彭本
吴新学</t>
  </si>
  <si>
    <t>产品经理[1]
设计师[1]</t>
  </si>
  <si>
    <t>设计</t>
  </si>
  <si>
    <t>针对产品的业务功能要求，评估数据中心的技术要求，研讨实现方式，评估和设计系统架构，确定开发方案和流程；</t>
  </si>
  <si>
    <t>数据中心设计文档</t>
  </si>
  <si>
    <r>
      <rPr>
        <sz val="10"/>
        <rFont val="宋体"/>
        <charset val="134"/>
      </rPr>
      <t xml:space="preserve">彭本
</t>
    </r>
    <r>
      <rPr>
        <b/>
        <sz val="10"/>
        <rFont val="宋体"/>
        <charset val="134"/>
      </rPr>
      <t>架构师x1</t>
    </r>
    <r>
      <rPr>
        <sz val="10"/>
        <rFont val="宋体"/>
        <charset val="134"/>
      </rPr>
      <t xml:space="preserve">
吴新学</t>
    </r>
  </si>
  <si>
    <t>产品经理[1]
架构师[1]
设计师[1]</t>
  </si>
  <si>
    <t>开发</t>
  </si>
  <si>
    <t>按照既定的设计文档进行功能开发和功能实现，完成首次版本的开发</t>
  </si>
  <si>
    <t>数据中心V1.0</t>
  </si>
  <si>
    <r>
      <rPr>
        <b/>
        <sz val="10"/>
        <rFont val="宋体"/>
        <charset val="134"/>
      </rPr>
      <t>架构师x1</t>
    </r>
    <r>
      <rPr>
        <sz val="10"/>
        <rFont val="宋体"/>
        <charset val="134"/>
      </rPr>
      <t xml:space="preserve">
吴新学
</t>
    </r>
    <r>
      <rPr>
        <b/>
        <sz val="10"/>
        <rFont val="宋体"/>
        <charset val="134"/>
      </rPr>
      <t>程序员xN</t>
    </r>
  </si>
  <si>
    <t>架构师[1]
设计师[1]
程序员[待定]</t>
  </si>
  <si>
    <t>测试</t>
  </si>
  <si>
    <t>配合跟进系统测试工作，完成数据中心V1.0版本的系统测试</t>
  </si>
  <si>
    <r>
      <rPr>
        <sz val="10"/>
        <rFont val="宋体"/>
        <charset val="134"/>
      </rPr>
      <t xml:space="preserve">吴新学
</t>
    </r>
    <r>
      <rPr>
        <b/>
        <sz val="10"/>
        <rFont val="宋体"/>
        <charset val="134"/>
      </rPr>
      <t>程序员x1
测试员xN</t>
    </r>
  </si>
  <si>
    <t>设计师[1]
程序员[1]
测试人员[待定]</t>
  </si>
  <si>
    <t xml:space="preserve">编写：吴新学                                      审核：                                             日期：2016-3-10             </t>
  </si>
  <si>
    <t>会议室</t>
  </si>
  <si>
    <t>人员</t>
  </si>
  <si>
    <t>会议内容</t>
  </si>
  <si>
    <t>本哥、翁总、一部</t>
  </si>
  <si>
    <t>1.出入境需求；
2.食药监需求（写具体查询）：
  a.互联网并发查询；
  b.溯源；
  c.流向分布；
3.培训计划，统一学习培训，收集；
4.19-20中心活动
5.中心协作管理；
6.华资大数据平台3.0的内容和计划；
7.电子政务对接；
8.agent的框架和业务场景；集群管理、监控、发布替代自动发布；
9.产品整理分析；
10.公司销售会议：销售7亿（软件1.5亿),中心支持，中心分工明确；售前支持；计划；
11.难点技术决策组讨论；
12.例会准时；</t>
  </si>
  <si>
    <r>
      <rPr>
        <sz val="10"/>
        <rFont val="宋体"/>
        <charset val="134"/>
      </rPr>
      <t xml:space="preserve">1.红名单；
2.数据库文档；
3.图像识别数字；
4.决策树；
5.数据类型；
6.特征提取；
</t>
    </r>
    <r>
      <rPr>
        <b/>
        <sz val="10"/>
        <rFont val="宋体"/>
        <charset val="134"/>
      </rPr>
      <t>7.自己添加额外任务，审批人为领导；</t>
    </r>
  </si>
  <si>
    <t>数据交换平台学习任务计划</t>
  </si>
  <si>
    <t>完成验证</t>
  </si>
  <si>
    <t>学习时长</t>
  </si>
  <si>
    <t>开始时间</t>
  </si>
  <si>
    <t>当前状态</t>
  </si>
  <si>
    <t>cs kettle</t>
  </si>
  <si>
    <t>设计并运行普通的表到表抽取转换，并了解kettle资源库管理</t>
  </si>
  <si>
    <t>转换成功运行，数据有抽取成功，了解kettle的资源库的保存、浏览、管理等操作</t>
  </si>
  <si>
    <t>1.5天</t>
  </si>
  <si>
    <t>设计并运行跨库的表到表抽取转换</t>
  </si>
  <si>
    <t>转换成功运行，数据有抽取成功，相关日志记录完整</t>
  </si>
  <si>
    <t>1天</t>
  </si>
  <si>
    <t>设计并运行带字典转换的数据抽取转换</t>
  </si>
  <si>
    <t>转换成功运行，相关日志记录完整，字段转换成功</t>
  </si>
  <si>
    <t>设计JOB，对转换进行封装，配置调度</t>
  </si>
  <si>
    <t>作业成功运行，调度有效运行</t>
  </si>
  <si>
    <t>设计并运行能实现增量的数据抽取转换</t>
  </si>
  <si>
    <t>转换成功运行，增量数据完整入库，相关日志记录</t>
  </si>
  <si>
    <t>交换平台</t>
  </si>
  <si>
    <t>安装部署交换平台的zookeeper和基础数据源</t>
  </si>
  <si>
    <t>3节点的zookeeper集群成功启动，相关基础数据成功生成</t>
  </si>
  <si>
    <t>安装部署交换平台的管理中心，并熟悉相关功能</t>
  </si>
  <si>
    <t>管理中心启动成功，能查询系统的相关作业</t>
  </si>
  <si>
    <t>安装部署交换平台的bs设计器，并熟悉相关功能</t>
  </si>
  <si>
    <t>设计器启动成功，能进行相关的作业设计，设计好的作业能在管理中心查看，能用cs kettle运行作业</t>
  </si>
  <si>
    <t>安装部署交换平台的ganger和worker</t>
  </si>
  <si>
    <t>集群启动成功，设计的相关作业能执行，相关日志记录也完整</t>
  </si>
  <si>
    <t>计划</t>
  </si>
  <si>
    <t>迭代</t>
  </si>
  <si>
    <t>任务</t>
  </si>
  <si>
    <t>工时</t>
  </si>
  <si>
    <t>草稿</t>
  </si>
  <si>
    <t>bug</t>
  </si>
  <si>
    <t>已解决</t>
  </si>
  <si>
    <t>未解决</t>
  </si>
  <si>
    <t>广州-清远出行物品-明细表</t>
  </si>
  <si>
    <t>激活</t>
  </si>
  <si>
    <t>研发测试完毕</t>
  </si>
  <si>
    <t>物品名称</t>
  </si>
  <si>
    <t>备注说明</t>
  </si>
  <si>
    <t>裔东</t>
  </si>
  <si>
    <t>身份证</t>
  </si>
  <si>
    <t>必备</t>
  </si>
  <si>
    <t>务必提前准备好</t>
  </si>
  <si>
    <t>已关闭</t>
  </si>
  <si>
    <t>已确认不做</t>
  </si>
  <si>
    <t>成超</t>
  </si>
  <si>
    <t>泳衣</t>
  </si>
  <si>
    <t>泡温泉，水上乐园用到</t>
  </si>
  <si>
    <t>辉梓</t>
  </si>
  <si>
    <t>换洗衣服</t>
  </si>
  <si>
    <t>晚上住酒店换洗</t>
  </si>
  <si>
    <t>已变更</t>
  </si>
  <si>
    <t>飞鹏</t>
  </si>
  <si>
    <t>手机防水袋</t>
  </si>
  <si>
    <t>自选</t>
  </si>
  <si>
    <t>漂流、泡温泉带手机用</t>
  </si>
  <si>
    <t>新学</t>
  </si>
  <si>
    <t>现金</t>
  </si>
  <si>
    <t>个人洗漱用具（毛巾，沐浴露、洗发水等）、其他物品（充电宝、防晒霜）等</t>
  </si>
  <si>
    <t>涂俊文</t>
  </si>
  <si>
    <t>泳镜</t>
  </si>
  <si>
    <t>自备几十元</t>
  </si>
  <si>
    <t>包含确认不做</t>
  </si>
  <si>
    <t>陈怡</t>
  </si>
  <si>
    <t>篮球、羽毛球</t>
  </si>
  <si>
    <t>建议带泳镜/隐形眼镜，不要戴眼镜。</t>
  </si>
  <si>
    <t>未完成</t>
  </si>
  <si>
    <t>午餐零食</t>
  </si>
  <si>
    <t>晚上在酒店玩牌</t>
  </si>
  <si>
    <t>合计</t>
  </si>
  <si>
    <t>洗漱用品</t>
  </si>
  <si>
    <t>统一购买，也可自带自己喜爱的零食一起分享</t>
  </si>
  <si>
    <t>充电宝</t>
  </si>
  <si>
    <t>防晒霜</t>
  </si>
  <si>
    <t>云南项目sdi非出差支持工时（单位：天）</t>
  </si>
  <si>
    <t>吴</t>
  </si>
  <si>
    <t>何</t>
  </si>
  <si>
    <t>2018.9.1至2018.12.30</t>
  </si>
  <si>
    <t>2019-02-25 00:56:22启动作业去取00:35:19的数据</t>
  </si>
  <si>
    <t>2019.1.1至2019.1.30</t>
  </si>
  <si>
    <t>源库数据量</t>
  </si>
  <si>
    <t>当时查询抽取到的数据量</t>
  </si>
  <si>
    <r>
      <rPr>
        <sz val="12"/>
        <rFont val="宋体"/>
        <charset val="134"/>
      </rPr>
      <t>201</t>
    </r>
    <r>
      <rPr>
        <sz val="12"/>
        <rFont val="宋体"/>
        <charset val="134"/>
      </rPr>
      <t>9</t>
    </r>
    <r>
      <rPr>
        <sz val="12"/>
        <rFont val="宋体"/>
        <charset val="134"/>
      </rPr>
      <t>.</t>
    </r>
    <r>
      <rPr>
        <sz val="12"/>
        <rFont val="宋体"/>
        <charset val="134"/>
      </rPr>
      <t>4</t>
    </r>
    <r>
      <rPr>
        <sz val="12"/>
        <rFont val="宋体"/>
        <charset val="134"/>
      </rPr>
      <t>.1至201</t>
    </r>
    <r>
      <rPr>
        <sz val="12"/>
        <rFont val="宋体"/>
        <charset val="134"/>
      </rPr>
      <t>9</t>
    </r>
    <r>
      <rPr>
        <sz val="12"/>
        <rFont val="宋体"/>
        <charset val="134"/>
      </rPr>
      <t>.</t>
    </r>
    <r>
      <rPr>
        <sz val="12"/>
        <rFont val="宋体"/>
        <charset val="134"/>
      </rPr>
      <t>5</t>
    </r>
    <r>
      <rPr>
        <sz val="12"/>
        <rFont val="宋体"/>
        <charset val="134"/>
      </rPr>
      <t>.</t>
    </r>
    <r>
      <rPr>
        <sz val="12"/>
        <rFont val="宋体"/>
        <charset val="134"/>
      </rPr>
      <t>21</t>
    </r>
  </si>
  <si>
    <t>环境</t>
  </si>
  <si>
    <t>情况</t>
  </si>
  <si>
    <t>连接方式</t>
  </si>
  <si>
    <t>机器(内网ip)</t>
  </si>
  <si>
    <t>主机名</t>
  </si>
  <si>
    <t>安装路径或启动命令</t>
  </si>
  <si>
    <t>系统用户/密码</t>
  </si>
  <si>
    <t>应用系统地址</t>
  </si>
  <si>
    <t>应用用户/密码</t>
  </si>
  <si>
    <t>日志文件</t>
  </si>
  <si>
    <t>公司同步环境管理中心地址</t>
  </si>
  <si>
    <t>root/Chz@1234, mysql(root/root@123,sdi/sdi@123)；</t>
  </si>
  <si>
    <t>14.10:9081</t>
  </si>
  <si>
    <t>admin/SINObest2017,jenkins8081(admin/Test123)；</t>
  </si>
  <si>
    <t>贵阳</t>
  </si>
  <si>
    <t>作业总数：2723
启动作业数：1278
worker实例数：14</t>
  </si>
  <si>
    <t>公安厅直连</t>
  </si>
  <si>
    <t>mcenter</t>
  </si>
  <si>
    <t>10.160.25.193</t>
  </si>
  <si>
    <t>sh /home/data/tomcat8-mcenter/bin/start.sh</t>
  </si>
  <si>
    <t>root/gzSINObest_HNZX@193</t>
  </si>
  <si>
    <t>http://10.160.25.193:8800/basic/job.jsp</t>
  </si>
  <si>
    <t>/home/data/tomcat8-mcenter/logs/catalina.out</t>
  </si>
  <si>
    <t>10.160.25.165</t>
  </si>
  <si>
    <t>sh /home/data/ganger/bin/start.sh</t>
  </si>
  <si>
    <t>root/gzSINObest_HNZX@165</t>
  </si>
  <si>
    <t>/home/data/ganger/logs/ganger.log</t>
  </si>
  <si>
    <t>10.168.25.166</t>
  </si>
  <si>
    <r>
      <rPr>
        <sz val="10"/>
        <rFont val="宋体"/>
        <charset val="134"/>
      </rPr>
      <t>sh /home/data/worker/bin/start.sh 680</t>
    </r>
    <r>
      <rPr>
        <sz val="10"/>
        <color indexed="10"/>
        <rFont val="宋体"/>
        <charset val="134"/>
      </rPr>
      <t>1</t>
    </r>
    <r>
      <rPr>
        <sz val="10"/>
        <rFont val="宋体"/>
        <charset val="134"/>
      </rPr>
      <t xml:space="preserve"> worker</t>
    </r>
    <r>
      <rPr>
        <sz val="10"/>
        <color indexed="10"/>
        <rFont val="宋体"/>
        <charset val="134"/>
      </rPr>
      <t>61</t>
    </r>
  </si>
  <si>
    <r>
      <rPr>
        <sz val="10"/>
        <rFont val="宋体"/>
        <charset val="134"/>
      </rPr>
      <t>/home/data/worker/logs/worker</t>
    </r>
    <r>
      <rPr>
        <sz val="10"/>
        <color indexed="10"/>
        <rFont val="宋体"/>
        <charset val="134"/>
      </rPr>
      <t>61</t>
    </r>
    <r>
      <rPr>
        <sz val="10"/>
        <rFont val="宋体"/>
        <charset val="134"/>
      </rPr>
      <t>.log</t>
    </r>
  </si>
  <si>
    <r>
      <rPr>
        <sz val="10"/>
        <rFont val="宋体"/>
        <charset val="134"/>
      </rPr>
      <t>sh /home/data/worker/bin/start.sh 680</t>
    </r>
    <r>
      <rPr>
        <sz val="10"/>
        <color indexed="10"/>
        <rFont val="宋体"/>
        <charset val="134"/>
      </rPr>
      <t>2</t>
    </r>
    <r>
      <rPr>
        <sz val="10"/>
        <rFont val="宋体"/>
        <charset val="134"/>
      </rPr>
      <t xml:space="preserve"> worker</t>
    </r>
    <r>
      <rPr>
        <sz val="10"/>
        <color indexed="10"/>
        <rFont val="宋体"/>
        <charset val="134"/>
      </rPr>
      <t>62</t>
    </r>
  </si>
  <si>
    <r>
      <rPr>
        <sz val="10"/>
        <rFont val="宋体"/>
        <charset val="134"/>
      </rPr>
      <t>/home/data/worker/logs/worker</t>
    </r>
    <r>
      <rPr>
        <sz val="10"/>
        <color indexed="10"/>
        <rFont val="宋体"/>
        <charset val="134"/>
      </rPr>
      <t>62</t>
    </r>
    <r>
      <rPr>
        <sz val="10"/>
        <rFont val="宋体"/>
        <charset val="134"/>
      </rPr>
      <t>.log</t>
    </r>
  </si>
  <si>
    <r>
      <rPr>
        <sz val="10"/>
        <rFont val="宋体"/>
        <charset val="134"/>
      </rPr>
      <t>sh /home/data/worker/bin/start.sh 680</t>
    </r>
    <r>
      <rPr>
        <sz val="10"/>
        <color indexed="10"/>
        <rFont val="宋体"/>
        <charset val="134"/>
      </rPr>
      <t>3</t>
    </r>
    <r>
      <rPr>
        <sz val="10"/>
        <rFont val="宋体"/>
        <charset val="134"/>
      </rPr>
      <t xml:space="preserve"> worker</t>
    </r>
    <r>
      <rPr>
        <sz val="10"/>
        <color indexed="10"/>
        <rFont val="宋体"/>
        <charset val="134"/>
      </rPr>
      <t>63</t>
    </r>
  </si>
  <si>
    <r>
      <rPr>
        <sz val="10"/>
        <rFont val="宋体"/>
        <charset val="134"/>
      </rPr>
      <t>/home/data/worker/logs/worker</t>
    </r>
    <r>
      <rPr>
        <sz val="10"/>
        <color indexed="10"/>
        <rFont val="宋体"/>
        <charset val="134"/>
      </rPr>
      <t>63</t>
    </r>
    <r>
      <rPr>
        <sz val="10"/>
        <rFont val="宋体"/>
        <charset val="134"/>
      </rPr>
      <t>.log</t>
    </r>
  </si>
  <si>
    <t>10.168.25.167</t>
  </si>
  <si>
    <r>
      <rPr>
        <sz val="10"/>
        <rFont val="宋体"/>
        <charset val="134"/>
      </rPr>
      <t>10.168.25.16</t>
    </r>
    <r>
      <rPr>
        <sz val="10"/>
        <color indexed="10"/>
        <rFont val="宋体"/>
        <charset val="134"/>
      </rPr>
      <t>8</t>
    </r>
  </si>
  <si>
    <r>
      <rPr>
        <sz val="10"/>
        <rFont val="宋体"/>
        <charset val="134"/>
      </rPr>
      <t>sh /home/data/worker/bin/start.sh 680</t>
    </r>
    <r>
      <rPr>
        <sz val="10"/>
        <color indexed="10"/>
        <rFont val="宋体"/>
        <charset val="134"/>
      </rPr>
      <t>1</t>
    </r>
    <r>
      <rPr>
        <sz val="10"/>
        <rFont val="宋体"/>
        <charset val="134"/>
      </rPr>
      <t xml:space="preserve"> worker</t>
    </r>
    <r>
      <rPr>
        <sz val="10"/>
        <color indexed="10"/>
        <rFont val="宋体"/>
        <charset val="134"/>
      </rPr>
      <t>81</t>
    </r>
  </si>
  <si>
    <r>
      <rPr>
        <sz val="10"/>
        <rFont val="宋体"/>
        <charset val="134"/>
      </rPr>
      <t>/home/data/worker/logs/worker</t>
    </r>
    <r>
      <rPr>
        <sz val="10"/>
        <color indexed="10"/>
        <rFont val="宋体"/>
        <charset val="134"/>
      </rPr>
      <t>81</t>
    </r>
    <r>
      <rPr>
        <sz val="10"/>
        <rFont val="宋体"/>
        <charset val="134"/>
      </rPr>
      <t>.log</t>
    </r>
  </si>
  <si>
    <r>
      <rPr>
        <sz val="10"/>
        <rFont val="宋体"/>
        <charset val="134"/>
      </rPr>
      <t>sh /home/data/worker/bin/start.sh 680</t>
    </r>
    <r>
      <rPr>
        <sz val="10"/>
        <color indexed="10"/>
        <rFont val="宋体"/>
        <charset val="134"/>
      </rPr>
      <t>2</t>
    </r>
    <r>
      <rPr>
        <sz val="10"/>
        <rFont val="宋体"/>
        <charset val="134"/>
      </rPr>
      <t xml:space="preserve"> worker</t>
    </r>
    <r>
      <rPr>
        <sz val="10"/>
        <color indexed="10"/>
        <rFont val="宋体"/>
        <charset val="134"/>
      </rPr>
      <t>82</t>
    </r>
  </si>
  <si>
    <r>
      <rPr>
        <sz val="10"/>
        <rFont val="宋体"/>
        <charset val="134"/>
      </rPr>
      <t>/home/data/worker/logs/worker</t>
    </r>
    <r>
      <rPr>
        <sz val="10"/>
        <color indexed="10"/>
        <rFont val="宋体"/>
        <charset val="134"/>
      </rPr>
      <t>82</t>
    </r>
    <r>
      <rPr>
        <sz val="10"/>
        <rFont val="宋体"/>
        <charset val="134"/>
      </rPr>
      <t>.log</t>
    </r>
  </si>
  <si>
    <r>
      <rPr>
        <sz val="10"/>
        <rFont val="宋体"/>
        <charset val="134"/>
      </rPr>
      <t>sh /home/data/worker/bin/start.sh 680</t>
    </r>
    <r>
      <rPr>
        <sz val="10"/>
        <color indexed="10"/>
        <rFont val="宋体"/>
        <charset val="134"/>
      </rPr>
      <t>3</t>
    </r>
    <r>
      <rPr>
        <sz val="10"/>
        <rFont val="宋体"/>
        <charset val="134"/>
      </rPr>
      <t xml:space="preserve"> worker</t>
    </r>
    <r>
      <rPr>
        <sz val="10"/>
        <color indexed="10"/>
        <rFont val="宋体"/>
        <charset val="134"/>
      </rPr>
      <t>83</t>
    </r>
  </si>
  <si>
    <r>
      <rPr>
        <sz val="10"/>
        <rFont val="宋体"/>
        <charset val="134"/>
      </rPr>
      <t>/home/data/worker/logs/worker</t>
    </r>
    <r>
      <rPr>
        <sz val="10"/>
        <color indexed="10"/>
        <rFont val="宋体"/>
        <charset val="134"/>
      </rPr>
      <t>83</t>
    </r>
    <r>
      <rPr>
        <sz val="10"/>
        <rFont val="宋体"/>
        <charset val="134"/>
      </rPr>
      <t>.log</t>
    </r>
  </si>
  <si>
    <r>
      <rPr>
        <sz val="10"/>
        <rFont val="宋体"/>
        <charset val="134"/>
      </rPr>
      <t>sh /home/data/worker/bin/start.sh 680</t>
    </r>
    <r>
      <rPr>
        <sz val="10"/>
        <color indexed="10"/>
        <rFont val="宋体"/>
        <charset val="134"/>
      </rPr>
      <t>4</t>
    </r>
    <r>
      <rPr>
        <sz val="10"/>
        <rFont val="宋体"/>
        <charset val="134"/>
      </rPr>
      <t xml:space="preserve"> worker</t>
    </r>
    <r>
      <rPr>
        <sz val="10"/>
        <color indexed="10"/>
        <rFont val="宋体"/>
        <charset val="134"/>
      </rPr>
      <t>84</t>
    </r>
  </si>
  <si>
    <r>
      <rPr>
        <sz val="10"/>
        <rFont val="宋体"/>
        <charset val="134"/>
      </rPr>
      <t>/home/data/worker/logs/worker</t>
    </r>
    <r>
      <rPr>
        <sz val="10"/>
        <color indexed="10"/>
        <rFont val="宋体"/>
        <charset val="134"/>
      </rPr>
      <t>84</t>
    </r>
    <r>
      <rPr>
        <sz val="10"/>
        <rFont val="宋体"/>
        <charset val="134"/>
      </rPr>
      <t>.log</t>
    </r>
  </si>
  <si>
    <r>
      <rPr>
        <sz val="10"/>
        <rFont val="宋体"/>
        <charset val="134"/>
      </rPr>
      <t>10.168.25.16</t>
    </r>
    <r>
      <rPr>
        <sz val="10"/>
        <color indexed="10"/>
        <rFont val="宋体"/>
        <charset val="134"/>
      </rPr>
      <t>9</t>
    </r>
  </si>
  <si>
    <r>
      <rPr>
        <sz val="10"/>
        <rFont val="宋体"/>
        <charset val="134"/>
      </rPr>
      <t>sh /home/data/worker/bin/start.sh 680</t>
    </r>
    <r>
      <rPr>
        <sz val="10"/>
        <color indexed="10"/>
        <rFont val="宋体"/>
        <charset val="134"/>
      </rPr>
      <t>1</t>
    </r>
    <r>
      <rPr>
        <sz val="10"/>
        <rFont val="宋体"/>
        <charset val="134"/>
      </rPr>
      <t xml:space="preserve"> worker</t>
    </r>
    <r>
      <rPr>
        <sz val="10"/>
        <color indexed="10"/>
        <rFont val="宋体"/>
        <charset val="134"/>
      </rPr>
      <t>91</t>
    </r>
  </si>
  <si>
    <r>
      <rPr>
        <sz val="10"/>
        <rFont val="宋体"/>
        <charset val="134"/>
      </rPr>
      <t>/home/data/worker/logs/worker</t>
    </r>
    <r>
      <rPr>
        <sz val="10"/>
        <color indexed="10"/>
        <rFont val="宋体"/>
        <charset val="134"/>
      </rPr>
      <t>91</t>
    </r>
    <r>
      <rPr>
        <sz val="10"/>
        <rFont val="宋体"/>
        <charset val="134"/>
      </rPr>
      <t>.log</t>
    </r>
  </si>
  <si>
    <r>
      <rPr>
        <sz val="10"/>
        <rFont val="宋体"/>
        <charset val="134"/>
      </rPr>
      <t>sh /home/data/worker/bin/start.sh 680</t>
    </r>
    <r>
      <rPr>
        <sz val="10"/>
        <color indexed="10"/>
        <rFont val="宋体"/>
        <charset val="134"/>
      </rPr>
      <t>2</t>
    </r>
    <r>
      <rPr>
        <sz val="10"/>
        <rFont val="宋体"/>
        <charset val="134"/>
      </rPr>
      <t xml:space="preserve"> worker</t>
    </r>
    <r>
      <rPr>
        <sz val="10"/>
        <color indexed="10"/>
        <rFont val="宋体"/>
        <charset val="134"/>
      </rPr>
      <t>92</t>
    </r>
  </si>
  <si>
    <r>
      <rPr>
        <sz val="10"/>
        <rFont val="宋体"/>
        <charset val="134"/>
      </rPr>
      <t>/home/data/worker/logs/worker</t>
    </r>
    <r>
      <rPr>
        <sz val="10"/>
        <color indexed="10"/>
        <rFont val="宋体"/>
        <charset val="134"/>
      </rPr>
      <t>92</t>
    </r>
    <r>
      <rPr>
        <sz val="10"/>
        <rFont val="宋体"/>
        <charset val="134"/>
      </rPr>
      <t>.log</t>
    </r>
  </si>
  <si>
    <r>
      <rPr>
        <sz val="10"/>
        <rFont val="宋体"/>
        <charset val="134"/>
      </rPr>
      <t>sh /home/data/worker/bin/start.sh 680</t>
    </r>
    <r>
      <rPr>
        <sz val="10"/>
        <color indexed="10"/>
        <rFont val="宋体"/>
        <charset val="134"/>
      </rPr>
      <t>3</t>
    </r>
    <r>
      <rPr>
        <sz val="10"/>
        <rFont val="宋体"/>
        <charset val="134"/>
      </rPr>
      <t xml:space="preserve"> worker</t>
    </r>
    <r>
      <rPr>
        <sz val="10"/>
        <color indexed="10"/>
        <rFont val="宋体"/>
        <charset val="134"/>
      </rPr>
      <t>93</t>
    </r>
  </si>
  <si>
    <r>
      <rPr>
        <sz val="10"/>
        <rFont val="宋体"/>
        <charset val="134"/>
      </rPr>
      <t>/home/data/worker/logs/worker</t>
    </r>
    <r>
      <rPr>
        <sz val="10"/>
        <color indexed="10"/>
        <rFont val="宋体"/>
        <charset val="134"/>
      </rPr>
      <t>93</t>
    </r>
    <r>
      <rPr>
        <sz val="10"/>
        <rFont val="宋体"/>
        <charset val="134"/>
      </rPr>
      <t>.log</t>
    </r>
  </si>
  <si>
    <r>
      <rPr>
        <sz val="10"/>
        <rFont val="宋体"/>
        <charset val="134"/>
      </rPr>
      <t>sh /home/data/worker/bin/start.sh 680</t>
    </r>
    <r>
      <rPr>
        <sz val="10"/>
        <color indexed="10"/>
        <rFont val="宋体"/>
        <charset val="134"/>
      </rPr>
      <t>4</t>
    </r>
    <r>
      <rPr>
        <sz val="10"/>
        <rFont val="宋体"/>
        <charset val="134"/>
      </rPr>
      <t xml:space="preserve"> worker</t>
    </r>
    <r>
      <rPr>
        <sz val="10"/>
        <color indexed="10"/>
        <rFont val="宋体"/>
        <charset val="134"/>
      </rPr>
      <t>94</t>
    </r>
  </si>
  <si>
    <r>
      <rPr>
        <sz val="10"/>
        <rFont val="宋体"/>
        <charset val="134"/>
      </rPr>
      <t>/home/data/worker/logs/worker</t>
    </r>
    <r>
      <rPr>
        <sz val="10"/>
        <color indexed="10"/>
        <rFont val="宋体"/>
        <charset val="134"/>
      </rPr>
      <t>94</t>
    </r>
    <r>
      <rPr>
        <sz val="10"/>
        <rFont val="宋体"/>
        <charset val="134"/>
      </rPr>
      <t>.log</t>
    </r>
  </si>
  <si>
    <r>
      <rPr>
        <sz val="10"/>
        <rFont val="宋体"/>
        <charset val="134"/>
      </rPr>
      <t>sh /home/data/worker/bin/start.sh 680</t>
    </r>
    <r>
      <rPr>
        <sz val="10"/>
        <color indexed="10"/>
        <rFont val="宋体"/>
        <charset val="134"/>
      </rPr>
      <t>5</t>
    </r>
    <r>
      <rPr>
        <sz val="10"/>
        <rFont val="宋体"/>
        <charset val="134"/>
      </rPr>
      <t xml:space="preserve"> worker</t>
    </r>
    <r>
      <rPr>
        <sz val="10"/>
        <color indexed="10"/>
        <rFont val="宋体"/>
        <charset val="134"/>
      </rPr>
      <t>95</t>
    </r>
  </si>
  <si>
    <r>
      <rPr>
        <sz val="10"/>
        <rFont val="宋体"/>
        <charset val="134"/>
      </rPr>
      <t>/home/data/worker/logs/worker</t>
    </r>
    <r>
      <rPr>
        <sz val="10"/>
        <color indexed="10"/>
        <rFont val="宋体"/>
        <charset val="134"/>
      </rPr>
      <t>95</t>
    </r>
    <r>
      <rPr>
        <sz val="10"/>
        <rFont val="宋体"/>
        <charset val="134"/>
      </rPr>
      <t>.log</t>
    </r>
  </si>
  <si>
    <r>
      <rPr>
        <sz val="10"/>
        <rFont val="宋体"/>
        <charset val="134"/>
      </rPr>
      <t>10.168.25.17</t>
    </r>
    <r>
      <rPr>
        <sz val="10"/>
        <color indexed="10"/>
        <rFont val="宋体"/>
        <charset val="134"/>
      </rPr>
      <t>0</t>
    </r>
  </si>
  <si>
    <r>
      <rPr>
        <sz val="10"/>
        <rFont val="宋体"/>
        <charset val="134"/>
      </rPr>
      <t>sh /home/data/worker/bin/start.sh 680</t>
    </r>
    <r>
      <rPr>
        <sz val="10"/>
        <color indexed="10"/>
        <rFont val="宋体"/>
        <charset val="134"/>
      </rPr>
      <t>1</t>
    </r>
    <r>
      <rPr>
        <sz val="10"/>
        <rFont val="宋体"/>
        <charset val="134"/>
      </rPr>
      <t xml:space="preserve"> worker</t>
    </r>
    <r>
      <rPr>
        <sz val="10"/>
        <color indexed="10"/>
        <rFont val="宋体"/>
        <charset val="134"/>
      </rPr>
      <t>01</t>
    </r>
  </si>
  <si>
    <r>
      <rPr>
        <sz val="10"/>
        <rFont val="宋体"/>
        <charset val="134"/>
      </rPr>
      <t>/home/data/worker/logs/worker</t>
    </r>
    <r>
      <rPr>
        <sz val="10"/>
        <color indexed="10"/>
        <rFont val="宋体"/>
        <charset val="134"/>
      </rPr>
      <t>01</t>
    </r>
    <r>
      <rPr>
        <sz val="10"/>
        <rFont val="宋体"/>
        <charset val="134"/>
      </rPr>
      <t>.log</t>
    </r>
  </si>
  <si>
    <r>
      <rPr>
        <sz val="10"/>
        <rFont val="宋体"/>
        <charset val="134"/>
      </rPr>
      <t>sh /home/data/worker/bin/start.sh 680</t>
    </r>
    <r>
      <rPr>
        <sz val="10"/>
        <color indexed="10"/>
        <rFont val="宋体"/>
        <charset val="134"/>
      </rPr>
      <t>2</t>
    </r>
    <r>
      <rPr>
        <sz val="10"/>
        <rFont val="宋体"/>
        <charset val="134"/>
      </rPr>
      <t xml:space="preserve"> worker</t>
    </r>
    <r>
      <rPr>
        <sz val="10"/>
        <color indexed="10"/>
        <rFont val="宋体"/>
        <charset val="134"/>
      </rPr>
      <t>02</t>
    </r>
  </si>
  <si>
    <r>
      <rPr>
        <sz val="10"/>
        <rFont val="宋体"/>
        <charset val="134"/>
      </rPr>
      <t>/home/data/worker/logs/worker</t>
    </r>
    <r>
      <rPr>
        <sz val="10"/>
        <color indexed="10"/>
        <rFont val="宋体"/>
        <charset val="134"/>
      </rPr>
      <t>02</t>
    </r>
    <r>
      <rPr>
        <sz val="10"/>
        <rFont val="宋体"/>
        <charset val="134"/>
      </rPr>
      <t>.log</t>
    </r>
  </si>
  <si>
    <t>佛山
社保</t>
  </si>
  <si>
    <t>网机-teamview(账户148392538密码666666)-mstsc(19.130.217.231:13389)</t>
  </si>
  <si>
    <t>19.130.217.226</t>
  </si>
  <si>
    <t>/home/sdi/sdi-apps/tomcat8-mcenter</t>
  </si>
  <si>
    <t>现场人员连接</t>
  </si>
  <si>
    <t>tv连上后远程桌面231机器chrome访问19.130.217.231/basic（测试环境194）</t>
  </si>
  <si>
    <t>manager/fs@sinobest</t>
  </si>
  <si>
    <t>http://192.168.13.52:8904/basic（manager/123456）</t>
  </si>
  <si>
    <t>cdh:19.130.214.199:7180 admin/sinoCDH@$321</t>
  </si>
  <si>
    <t>19.130.217.227/19.130.217.228</t>
  </si>
  <si>
    <t>/home/sdi/sdi-apps/ganger/bin/start.sh</t>
  </si>
  <si>
    <t>http://192.168.13.49:8904/basic（root/abc1234）</t>
  </si>
  <si>
    <t>19.130.217.226/19.130.217.227/19.130.217.228</t>
  </si>
  <si>
    <t>/home/sdi/sdi-apps/worker/bin/start.sh 6888 worker01</t>
  </si>
  <si>
    <t>http://192.168.54.30:7001/basic</t>
  </si>
  <si>
    <t>禅城
社保</t>
  </si>
  <si>
    <t>vpn-59.39.58.245(XXB_yangzy/123456验证码问现场要)-mstsc(19.133.167.84-sjtcj/Sjzx@2016)</t>
  </si>
  <si>
    <t>19.134.148.57</t>
  </si>
  <si>
    <t>vpn连上后本地ie8访问19.133.167.84/basic</t>
  </si>
  <si>
    <t>yxf/cc@sinobest</t>
  </si>
  <si>
    <t>19.134.148.58/59</t>
  </si>
  <si>
    <t>/home/sdi/sdi-apps/ganger/</t>
  </si>
  <si>
    <t>数据库19.133.182.9:1521:CCZRR 用户CCYMSZRRK_KETTLE/CCYMSZRRK_KETTLE
$oracle16</t>
  </si>
  <si>
    <t>19.134.148.57/58/59</t>
  </si>
  <si>
    <t>/home/sdi/sdi-apps/worker/</t>
  </si>
  <si>
    <t>昆明</t>
  </si>
  <si>
    <t>作业总数：671
启动作业数：433
worker实例数：8</t>
  </si>
  <si>
    <t>公安网直连或
192.168.11.103上的tv:1115204598 1046827906/Aa123456(jin_hool@163.com/Hool257548）
-172.18.0.202-10.166.116.102:3399</t>
  </si>
  <si>
    <t>mysql</t>
  </si>
  <si>
    <t>10.166.116.107</t>
  </si>
  <si>
    <t>/usr/local/mysql</t>
  </si>
  <si>
    <t>root/SINObest@root1</t>
  </si>
  <si>
    <t>sdi/SINObest@sdi1</t>
  </si>
  <si>
    <t>root/SINOBest@root2019,sdi/YN@sdi2019</t>
  </si>
  <si>
    <t>http://192.168.15.57</t>
  </si>
  <si>
    <t>备用mysql</t>
  </si>
  <si>
    <t>86.1.40.32</t>
  </si>
  <si>
    <t>sdimanager</t>
  </si>
  <si>
    <t>10.166.116.108</t>
  </si>
  <si>
    <t>/home/sdi/sdi-apps</t>
  </si>
  <si>
    <t>sdi/sdi@123</t>
  </si>
  <si>
    <t>10.166.116.108:8080</t>
  </si>
  <si>
    <t>pawUser/pawUser</t>
  </si>
  <si>
    <t>10.166.116.109/111</t>
  </si>
  <si>
    <t>10.166.116.108-110</t>
  </si>
  <si>
    <t>作业总数：234
启动作业数：83
worker实例数：4</t>
  </si>
  <si>
    <t>现场连，或省地税堡垒机150.36.16.16（hz-pb/abcd123456），再远程桌面150.36.19.191</t>
  </si>
  <si>
    <t>150.36.19.194（172.16.4.110）</t>
  </si>
  <si>
    <t>fsdssdi01</t>
  </si>
  <si>
    <t>root/P@ssw0rd</t>
  </si>
  <si>
    <t>150.36.19.194:8080/</t>
  </si>
  <si>
    <t>150.36.19.195</t>
  </si>
  <si>
    <t>fsdssdi02</t>
  </si>
  <si>
    <t>sdi/FsdsSdi@123</t>
  </si>
  <si>
    <t>150.36.19.196</t>
  </si>
  <si>
    <t>fsdssdi03</t>
  </si>
  <si>
    <t>150.36.19.197</t>
  </si>
  <si>
    <t>fsdssdi04</t>
  </si>
  <si>
    <t>中心</t>
  </si>
  <si>
    <t>IP</t>
  </si>
  <si>
    <t>SYSTEMID</t>
  </si>
  <si>
    <t>年限</t>
  </si>
  <si>
    <t>许可数</t>
  </si>
  <si>
    <t>项目负责人</t>
  </si>
  <si>
    <t>申请人</t>
  </si>
  <si>
    <t>社保</t>
  </si>
  <si>
    <t>海南</t>
  </si>
  <si>
    <t>192.168.13.17</t>
  </si>
  <si>
    <t>A13E80</t>
  </si>
  <si>
    <t>武小警</t>
  </si>
  <si>
    <t>申请的部门中心：
应用的项目名称：
要部署的ip:
申请的使用年限：
申请的worker数：
项目负责人：</t>
  </si>
  <si>
    <t>192.168.13.18</t>
  </si>
  <si>
    <t>192.168.13.13</t>
  </si>
  <si>
    <t>9CA4F0</t>
  </si>
  <si>
    <t>海南数据治理</t>
  </si>
  <si>
    <t>192.168.13.63</t>
  </si>
  <si>
    <t>李元勋</t>
  </si>
  <si>
    <t>海南人社</t>
  </si>
  <si>
    <t>10.12.13.26</t>
  </si>
  <si>
    <t>C933ce</t>
  </si>
  <si>
    <t>谢跃锋</t>
  </si>
  <si>
    <t>柯永津</t>
  </si>
  <si>
    <t>海口市人社业务基础数据平台(一期)</t>
  </si>
  <si>
    <t>10.12.65.68</t>
  </si>
  <si>
    <t>EC5F9D</t>
  </si>
  <si>
    <t>朱仁义</t>
  </si>
  <si>
    <t>海口基础平台</t>
  </si>
  <si>
    <t>10.12.65.102</t>
  </si>
  <si>
    <t>ECAB25</t>
  </si>
  <si>
    <t>东莞市税务局社保费代征技术服务项目</t>
  </si>
  <si>
    <t>150.88.194.229</t>
  </si>
  <si>
    <t>A8C6C0</t>
  </si>
  <si>
    <t>潘智</t>
  </si>
  <si>
    <t>唐满荣</t>
  </si>
  <si>
    <t>东莞市社会保障局社保费税局征收系统改造项目</t>
  </si>
  <si>
    <t>192.168.161.19</t>
  </si>
  <si>
    <t>EC3CD4</t>
  </si>
  <si>
    <t>杨逸欣</t>
  </si>
  <si>
    <t>佛山自然人</t>
  </si>
  <si>
    <t>19.130.217.224</t>
  </si>
  <si>
    <t>1A0CFA</t>
  </si>
  <si>
    <t>蒋建华</t>
  </si>
  <si>
    <t>何晓妮</t>
  </si>
  <si>
    <t>佛山竞标演示</t>
  </si>
  <si>
    <t>192.168.59.128</t>
  </si>
  <si>
    <t>C503E8</t>
  </si>
  <si>
    <t>唐烽文</t>
  </si>
  <si>
    <t>蔡应成</t>
  </si>
  <si>
    <t>验证环境</t>
  </si>
  <si>
    <t>192.168.11.120</t>
  </si>
  <si>
    <t>4A8EDC</t>
  </si>
  <si>
    <t>黎宝怡</t>
  </si>
  <si>
    <t>旧库迁移测试</t>
  </si>
  <si>
    <t>192.168.15.74</t>
  </si>
  <si>
    <t>2B10CE</t>
  </si>
  <si>
    <t>何健安</t>
  </si>
  <si>
    <t>数管投标演示</t>
  </si>
  <si>
    <t>C5D1DD</t>
  </si>
  <si>
    <t>测试环境</t>
  </si>
  <si>
    <t>192.168.15.41</t>
  </si>
  <si>
    <t>B543A2</t>
  </si>
  <si>
    <t>192.168.15.40</t>
  </si>
  <si>
    <t>C21E30</t>
  </si>
  <si>
    <t>192.168.15.2</t>
  </si>
  <si>
    <t>C0E033</t>
  </si>
  <si>
    <t>社保事业部_SDI版本升级</t>
  </si>
  <si>
    <t>192.168.13.49</t>
  </si>
  <si>
    <t>711D02</t>
  </si>
  <si>
    <t>李秋平</t>
  </si>
  <si>
    <t>张晓琴</t>
  </si>
  <si>
    <t>SDI</t>
  </si>
  <si>
    <t>192.168.68.249</t>
  </si>
  <si>
    <t>C5FC9E</t>
  </si>
  <si>
    <t>李翔</t>
  </si>
  <si>
    <t>一中心</t>
  </si>
  <si>
    <t>贵州项目竞标演示</t>
  </si>
  <si>
    <t>曾来成</t>
  </si>
  <si>
    <t>存在的问题</t>
  </si>
  <si>
    <t>后续处理</t>
  </si>
  <si>
    <t>代码管理</t>
  </si>
  <si>
    <t>master禁止提交，dev-vx.x.x保护的，开发时要自行切出分支进行提交，开发完成时提交merge；</t>
  </si>
  <si>
    <t>1、提交dev，增加交叉走读;
2、git包整体一个；</t>
  </si>
  <si>
    <t>master
dev-vx.x.x
vx.x.x-Alpha</t>
  </si>
  <si>
    <t>慢作业反馈功能开发</t>
  </si>
  <si>
    <t xml:space="preserve">慢作业的反馈流程存在问题：
kettle识别出来，需要反馈到worker，worker进行记录到表，时效性；
</t>
  </si>
  <si>
    <t>job增加属性记录执行速度；
根据执行速度判断是否慢作业，进行预警。</t>
  </si>
  <si>
    <t>作业执行速度功能优化</t>
  </si>
  <si>
    <t>同问题2
kettle实时更新数据到redis,并发执行时网络承受能力；</t>
  </si>
  <si>
    <t>redis增加lua脚本进行统计，sdi manager去订阅数据推送给前端刷新</t>
  </si>
  <si>
    <r>
      <rPr>
        <sz val="12"/>
        <rFont val="宋体"/>
        <charset val="134"/>
      </rPr>
      <t>s</t>
    </r>
    <r>
      <rPr>
        <sz val="12"/>
        <rFont val="宋体"/>
        <charset val="134"/>
      </rPr>
      <t>ql优化</t>
    </r>
  </si>
  <si>
    <t>实例、主机配置信息表会不会影响查询；
状态日志表3个条件like、2个字段没索引；</t>
  </si>
  <si>
    <t>2个字段加索引</t>
  </si>
  <si>
    <t>星期六</t>
  </si>
  <si>
    <t>星期日</t>
  </si>
  <si>
    <t>设计器，版本管理，缺陷修复</t>
  </si>
  <si>
    <t>日志记录优化；删除转换锁表, 数据质量评估，koa, dva；表复制及向导；接口权限改造（数据源，作业，转换），xxl-job技术预研；日志过多页面卡；作业未调度；代码审核</t>
  </si>
  <si>
    <t>删除转换锁表, 数据质量评估，koa, dva；表复制及向导；接口权限改造（数据源，作业，转换），xxl-job技术预研；日志过多页面卡；作业未调度；代码审核</t>
  </si>
  <si>
    <t>hudson集成;xmind破解；脚本，配置文件，安装手册，支持，白皮书，license,bs集成,用户角色和组织机构，增量，数据质量评估，断点重抽，全库拷贝</t>
  </si>
  <si>
    <t>1、根据架构师提供的解决方案，评估方案的可行性，按照方案进行系统设计与模块分解；
2、评估当前系统的结构设计，针对不合理的设计提供优化升级方案；
3、排查、解决系统运行过程中存在的系统层面的问题和隐患；
4、根据系统要求，选择合理的技术路线，设计出有效的系统结构，并编写系统设计文档；
5、编写系统开发规范，并跟踪模块设计质量，指导模块设计（数据库设计）</t>
  </si>
  <si>
    <t>用户》开发》系统管理及其它</t>
  </si>
  <si>
    <t>故障处理手册；绩效考核；现场维护人员；kafaka学习；首页监控；异常恢复机制；福建云平台作业模板；管理页面多资源编号查询；有clob作业worker内存被爆；tomcat日志处理；出入境交换平台部署；大数据插件测试发布；福建12306； 禅城一门式部署；ant sshexec；版本升级公告；作业归类;worker满载垃圾回收；定制模板生成作业方案优化;作业数据连接超时设置；贵阳sysdate和getdate问题；</t>
  </si>
  <si>
    <t>周期</t>
  </si>
  <si>
    <t>主持人</t>
  </si>
  <si>
    <t>加班工时</t>
  </si>
  <si>
    <t>外勤/出差</t>
  </si>
  <si>
    <t>遗留问题</t>
  </si>
  <si>
    <t>本周计划</t>
  </si>
  <si>
    <t>星期五</t>
  </si>
  <si>
    <t>星期三</t>
  </si>
  <si>
    <t>星期二</t>
  </si>
  <si>
    <t>星期一</t>
  </si>
  <si>
    <t>分析解决贵阳现场反馈r_step_attribute表索引主键冲突问题；</t>
  </si>
  <si>
    <t>星期四</t>
  </si>
  <si>
    <t>上午请假；研发中心一部部门月度总结及计划会议；SDI产品的新迭代需求整理和讨论；</t>
  </si>
  <si>
    <t>elasticsearch产品工具研究及kettle插件研究；昆明现场sdi json导入问题排查；</t>
  </si>
  <si>
    <t>辉</t>
  </si>
  <si>
    <t>sdi-manager的生成作业webservice接口报插件问题排查（~/.kettle目录下没有对应插件）；sybase抽取乱码问题（字符集问题）；</t>
  </si>
  <si>
    <t>辉：佛山地税地址匹配设计；金鹏OEM数据管理平台系统问题处理跟进；</t>
  </si>
  <si>
    <t>SDI产品的新迭代需求整理和讨论；SDI第二期-V2.4.2-20200102-31新迭代计划会议；</t>
  </si>
  <si>
    <t>昆明现场sdi 插入更新组件问题排查；elasticsearch产品工具研究及kettle插件研究；</t>
  </si>
  <si>
    <t>东</t>
  </si>
  <si>
    <t>裔东开发kettle增量表输入组件指导；系统配置文件与参数优化-sdi-manager打包方式从jar改为war（license目录问题，日志乱码，jndi错误问题）；</t>
  </si>
  <si>
    <t>学：佛山地税现场运维SDI系统操作培训；sdi，kettle功能升级改造</t>
  </si>
  <si>
    <t>食药监中心数据平台项目sdi演示环境沟通及处理；sdi集群一键部署工具平台zookeeper认证标识问题处理</t>
  </si>
  <si>
    <t>elasticsearch产品工具研究及kettle插件研究；社保佛山禅城现场离线文档作业执行失败问题排查（缺少依赖包）；</t>
  </si>
  <si>
    <t>超</t>
  </si>
  <si>
    <t>系统配置文件与参数优化-sdi-manager打包方式从jar改为war（日志乱码，jndi错误问题，websocket报错问题）；裔东开发kettle增量表输入组件指导；</t>
  </si>
  <si>
    <t>东：食药监模型升级改造；增量表输入组件实现；</t>
  </si>
  <si>
    <t>参加迭代验收会议；分析解决贵阳现场反馈r_step_attribute表索引主键冲突问题；分析解决食药监发布新版本作业生成失败问题（RepositoryUtil被移走未实例化）</t>
  </si>
  <si>
    <t>食药监中心数据平台项目sdi演示环境接口文档补充，系统部署要求沟通；bs设计器webui宏霖开发协助指导；</t>
  </si>
  <si>
    <t>昆明现场sdi反馈问题排查、整理与回复；社保佛山禅城现场作业更新数据量计算问题分析排查；elasticsearch产品工具研究及kettle插件研究；</t>
  </si>
  <si>
    <t>学</t>
  </si>
  <si>
    <t>佛山地税现场运维SDI系统操作培训；系统配置文件与参数优化-sdi-manager打包方式从jar改为war（websocket报错问题）；</t>
  </si>
  <si>
    <t>超：系统配置文件读写方式改造；佛山地税第三方提供数据与税务机关、纳税人进行关联；</t>
  </si>
  <si>
    <t>分析解决贵阳现场反馈r_step_attribute表索引主键冲突问题（hbase组件bug，objectid空值）；佛山升级包功能清单整理和测试；</t>
  </si>
  <si>
    <t>佛山地税项目sdi平台安排部署问题分析解决；sdi集群一键部署脚本工具缺陷解决和优化(java安装流程优化)；</t>
  </si>
  <si>
    <t>SDI第二期-V2.4.2-20200102-31新迭代资料整理； 昆明公安厅数据中心项目现场sdi问题技术分析与讨论；</t>
  </si>
  <si>
    <t>解决bigdata插件打包问题；协助解决禅城资源库重连问题；排查解决福建作业不调度问题；排查解决食药监新环境部署后调度器连接报错问题；</t>
  </si>
  <si>
    <t>食药监业务中心项目应用sdi平台集成沟通与交流；sdi集群一键部署脚本工具缺陷解决和优化(安装流程优化)；</t>
  </si>
  <si>
    <t>佛山禅城社保项目缺陷问题的整理与交接；海南社保项目组sdi平台产品技术支持（kettle旧版本提供）；</t>
  </si>
  <si>
    <t>SDI组上月度工作总结及本月工作规划会议；昆明现场SDI问题增加新任务到迭代23中；</t>
  </si>
  <si>
    <t>国产平台机器环境实施部署sdi平台的分析与研究；sdi集群一键部署脚本工具缺陷解决和优化(安装流程优化)；</t>
  </si>
  <si>
    <t>佛山禅城社保项目作业状态不一致问题分析排查，后台命令行启动实例命令；SDI第二期-V2.4.2-20200102-31迭代任务（导出数据库日志到文件程序）开发；</t>
  </si>
  <si>
    <t>elasticsearch产品组件集成到kettle代码提交、升级和测试指导；昆明现场sdi问题解决代码同步合并及冲突解决；</t>
  </si>
  <si>
    <t>系统配置文件与参数优化-sdi-manager打包方式从jar改为war（发布流程整理，junit测试报错）；</t>
  </si>
  <si>
    <t>SPRING16迭代演示会议及总结；</t>
  </si>
  <si>
    <t>SDI第二期-V2.4.2-20200102-31迭代任务（导出数据库日志到文件程序、清理过期作业日志文件）开发；</t>
  </si>
  <si>
    <t>elasticsearch产品组件集成到kettle代码提交、升级和测试指导；昆明现场sdi版本升级指导；</t>
  </si>
  <si>
    <t>裔东开发kettle增量表输入组件指导；食药监新模板改造工作对接协调；系统配置文件与参数优化-sdi-manager打包方式从jar改为war（sinogear方式打包测试）；</t>
  </si>
  <si>
    <t>辉：佛山地税地址匹配设计；金鹏OEM数据管理平台系统问题及新需求处理；</t>
  </si>
  <si>
    <t>SDI第二期-V2.4.2-20200102-31迭代任务（清理过期作业日志文件）开发；</t>
  </si>
  <si>
    <t>昆明现场sdi版本升级指导；elasticsearch产品组件集成到SDI升级和测试指导；</t>
  </si>
  <si>
    <t>SPRING16迭代资料整理，主持演示会议及总结；年度总结内容整理；系统配置文件与参数优化-sdi-manager打包方式从jar改为war（sinogear方式打包测试）；</t>
  </si>
  <si>
    <t>学：sdi，kettle功能升级改造；年度工作内容整理；</t>
  </si>
  <si>
    <t>国产数据库的分析和对比研究（达梦，tbase, tidb, guassDBd等）</t>
  </si>
  <si>
    <t>SDI第二期-V2.3.4-20181219-23迭代演示及总结会议；elasticsearch产品组件集成到SDI升级和测试指导；</t>
  </si>
  <si>
    <t>食药监交换平台问题排查解决（servername无/访问不了，ojdbc6访问报socket超时）；系统配置文件与参数优化-sdi-manager打包方式从jar改为war（KettleUser序列化异常，websocket, 乱码问题）；</t>
  </si>
  <si>
    <t>国产数据库平台（达梦数据库）的用户手册的部署和使用学习；</t>
  </si>
  <si>
    <t>SDI第二期-V2.3.4-20181219-23迭代资料整理；昆明现场sdi ftp问题排查及分析；</t>
  </si>
  <si>
    <t>年度报告总结整理；系统配置文件与参数优化-sdi-manager打包方式从jar改为war（websocket）；</t>
  </si>
  <si>
    <t>超：系统配置文件读写方式改造；佛山禅城ftp模型接口</t>
  </si>
  <si>
    <t>食药监升级后启动作业不执行问题解决（端口冲突）；食药监插入更新数据步骤遗漏问题（作业设计问题）；channellog日志不记录问题解决（channellogtable多注释）；福建反馈worker挂掉问题（大字段抽取内存溢出）；worker独立启动调整；</t>
  </si>
  <si>
    <t>在docker的centos7环境中部署国产数据库平台（达梦数据库）；</t>
  </si>
  <si>
    <t>上午请假；SDI第二期-V2.4.2-20200102-31迭代任务（清理过期作业日志文件）开发；昆明公安厅数据中心项目现场sdi问题（数据丢失问题）技术分析与讨论；</t>
  </si>
  <si>
    <t>worker独立启动调整；octopus联调测试；作业日志遗漏排查；</t>
  </si>
  <si>
    <t>虚拟机win7系统中部署国产数据库平台及客户端软件（达梦数据库）；</t>
  </si>
  <si>
    <t>SDI第二期-V2.4.2-20200102-31迭代任务（导出数据库日志到文件程序、清理过期作业日志文件）开发及缺陷解决；社保事业部海口数据中心项目现场sdi问题（数据插入更新）技术讨论沟通；</t>
  </si>
  <si>
    <t>昆明现场sdi ftp问题排查及分析；SDI第二期-V2.3.4-20181219-23迭代资料整理；elasticsearch产品组件手册编写；</t>
  </si>
  <si>
    <t>食药监sqlserver执行作业报错（sqlserver的disconnect不支持）；SDI-5迭代总结会议及管理中心demo评审；</t>
  </si>
  <si>
    <t>达梦数据库平台进行sdi平台数据的搭建与迁移拷贝；</t>
  </si>
  <si>
    <t>社保事业部海口数据中心项目现场sdi问题（数据插入更新）技术讨论沟通；SDI第二期-V2.4.2-20200102-31迭代任务测试及缺陷处理；</t>
  </si>
  <si>
    <t>elasticsearch产品组件中文汉化；SDI小组年度报告总结整理；社保禅城现场数据交换平台升级版本整理；</t>
  </si>
  <si>
    <t>年度报告总结整理；裔东食药监新模型接口设计指导；</t>
  </si>
  <si>
    <t>辉：佛山地税地址匹配设计；</t>
  </si>
  <si>
    <t>社保事业部海口数据中心项目现场sdi问题（源端删除数据同步）技术讨论沟通；SDI第二期-V2.4.2-20200102-31迭代任务测试及缺陷处理；</t>
  </si>
  <si>
    <t>昆明现场sdi ftp问题排查及分析；与健安、实施组沟通昆明现场sdi问题总结沟通；</t>
  </si>
  <si>
    <t>系统配置文件与参数优化-sdi-manager打包方式从jar改为war（KettleUser序列化异常)；禅城数据交换平台作业查询增加作业多id条件改造；祥想改造BS设计器用户权限验证指导；</t>
  </si>
  <si>
    <t>学：佛山地税数据抽取功能；佛山禅城作业IDS筛选功能升级；</t>
  </si>
  <si>
    <t>作业日志遗漏问题排查解决；SDI-5迭代未分解任务处理；食药监sqlserver执行作业报错问题解决（sqlserver版本）；</t>
  </si>
  <si>
    <t>SDI第二期-V2.4.2-20200102-31迭代任务测试缺陷及缺陷处理；昆明公安厅数据中心项目现场sdi问题（数据丢失问题）技术分析与讨论；</t>
  </si>
  <si>
    <t>小组及个人的年度工作总结整理；昆明现场sdi ftp问题排查及分析；elasticsearch产品组件中支持管道定义处理；</t>
  </si>
  <si>
    <t>系统配置文件与参数优化-sdi-manager打包方式从jar改为war（从分支合并回主干，配置文件读写方式）；sybase中文乱码问题解决；</t>
  </si>
  <si>
    <t>成超的试用期考核标准；作业日志遗漏问题验证；大数据、java调试培训；前端框架讨论</t>
  </si>
  <si>
    <t>达梦数据库平台进行sdi平台数据的搭建与迁移拷贝（基础数据迁移复制工具分析和应用）；</t>
  </si>
  <si>
    <t>SDI第二期-V2.4.2-20200102-31迭代演示会议；迭代缺陷处理；</t>
  </si>
  <si>
    <t>小组及个人的年度工作总结整理；昆明现场sdi ftp文件解压失败问题解决沟通；elasticsearch产品组件中支持管道定义处理；</t>
  </si>
  <si>
    <t>部门小组年度述职总结会议；bs设计器gbase问题排查解决；解决cs kettle执行作业有时结束日志被删除掉没打印出来问题；裔东开发kettle增量表输入组件指导；</t>
  </si>
  <si>
    <t>成超的试用期任务计划安排；
贵阳现场数据交换平台巡检任务安排与沟通；
流式数据处理技术培训；octopus兼容性改造；hudson应用研究；react；</t>
  </si>
  <si>
    <t>达梦数据库平台进行sdi平台数据的搭建与迁移拷贝（基础数据迁移复制及异常解决）；</t>
  </si>
  <si>
    <t>SDI第二期-V2.4.2-20200102-31迭代缺陷处理；运维组巡检的状态sql提供与指导；</t>
  </si>
  <si>
    <t>佛山地税现场需求分析及研讨；sybase字符集切换操作说明文档编写；系统配置文件与参数优化-sdi-manager打包方式从jar改为war（snakeyml依赖问题）；</t>
  </si>
  <si>
    <t>BS设计器迭代验收会议；UI设计、微服务技术培训</t>
  </si>
  <si>
    <t>研发一部产品代码git版本管理沟通安排会议； sdi平台git版本管理工作任务分派启动会议；</t>
  </si>
  <si>
    <t>octopus兼容性改造；移动框架技术介绍培训；部门总结会议</t>
  </si>
  <si>
    <t>SDI平台基于达梦库部署应用（kettle基于达梦库运行及作业执行，sdi平台部署及数据初始化）；</t>
  </si>
  <si>
    <t>佛山社保sdi平台作业子转换执行报错问题排查（公共转换被删除）；elasticsearch产品组件集成及与es组对接；</t>
  </si>
  <si>
    <t>octopus兼容性改造；公司年会</t>
  </si>
  <si>
    <t>SDI平台基于达梦库部署应用（sdi平台部署及数据初始化，sdi平台配置及初始化报错问题）；</t>
  </si>
  <si>
    <t>elasticsearch产品组件集成及与es组对接；海南社保sdi平台获取作业最新日志接口发布；</t>
  </si>
  <si>
    <t>月度工时分配；食药监资源库问题(无法重现)；解决cs kettle执行作业有时结束日志被删除掉没打印出来问题；sdimanager打war包发布到linux的tomcat中异常解决（内存空间不够）；</t>
  </si>
  <si>
    <t>辉：金鹏OEM数据管理平台系统问题及新需求处理；UAT环境升级GBASE数据库及相关功能；禅城项目程序升级ftp导入模板、ids过滤；</t>
  </si>
  <si>
    <t>交换平台管理中心核心结构分析与提取</t>
  </si>
  <si>
    <t>昆明现场sdi平台ftp作业；昆明现场sdi平台作业抽取漏数据问题排查（源库获取增量漏数据）</t>
  </si>
  <si>
    <t>双库对拷组件设计实现(orcl-orcl,sybase-orcl,orcl-gbase,生成界面卡死，sybase获取表列表问题，作业无createUser)；</t>
  </si>
  <si>
    <t>学：佛山地税数据抽取功能；sdi，kettle功能改造</t>
  </si>
  <si>
    <t>交换平台管理中心核心结构提取与SPRING整合</t>
  </si>
  <si>
    <t>昆明现场sdi平台作业抽取漏数据问题排查（源库获取增量漏数据）；昆明现场sdi平台ftp作业；</t>
  </si>
  <si>
    <t>佛山地税现场sybase历史库数据、金三业务库数据抽取；</t>
  </si>
  <si>
    <t>东：食药监模型升级改造；增量表输入组件实现及集成到双库对拷；</t>
  </si>
  <si>
    <t>交换平台管理中心核心结构与AXIS整合</t>
  </si>
  <si>
    <t>SDI平台基于达梦库部署应用（sdi平台配置及初始化报错问题解决，manager和worker基于达梦平台部署改造）；</t>
  </si>
  <si>
    <t>y</t>
  </si>
  <si>
    <t>赶赴昆明公安厅现场sdi问题沟通与协调</t>
  </si>
  <si>
    <t>双库对拷组件设计实现(多schema获取表名，增加记录字段自动添加，解决作业关联的转换打开失败（存在同id作业）)；</t>
  </si>
  <si>
    <t>超：系统配置文件读写方式改造；佛山禅城ftp模型接口；数据管理平台实现；</t>
  </si>
  <si>
    <t>交换平台管理中心新框架的整理</t>
  </si>
  <si>
    <t>sdi平台改造代码整理及提交；SDI平台基于达梦库部署应用（sdi平台worker基于达梦数据库部署改造）；</t>
  </si>
  <si>
    <t>1、完成客运-车牌号压缩包读取，数据备份原库数据、去重清理、完成16W个压缩包数据补充入库。
2、完成客运-购票源端压缩包获取，6W个。
3、完成客运-检票源端压缩包获取，6W个。
4、完成进港数据  源端压缩表与目标端压缩包扫描比对。
5、指导艾拓完成对ftp补录作业（10个）均做重新配置和调度。
6、排查ganger调度过程中状态丢失问题，修改代码，增加作业自检机制，提交系统测试。</t>
  </si>
  <si>
    <t>禅城项目增加ids过滤程序打包；双库对拷组件设计实现(schema提前获取，入库时间字段实现可配置）；宝怡反馈gbase根据表名加载表字段报错问题排查解决；</t>
  </si>
  <si>
    <t>处理贵州现场问题；</t>
  </si>
  <si>
    <t>基于达梦数据库的sdi平台改造代码冲突及回滚整理；2020年度的工作绩效面谈；</t>
  </si>
  <si>
    <t>1、完成客运-车牌号补充及确认。
2、完成客运-购票数据补充及确认。
3、完成客运-检票数据补充及确认。
4、完成离港数据 源端压缩表与目标端压缩包扫描比对（扫描25W个文件，有问题的共3个），进行补录。
5、完成铁路实名制数据补充（1088万条）及确认。
6、完成汇聚-看守所-在押人员 部分数据未入库原因排查（作业配置SQL语句有问题）。
7、排查ganger调度过程中状态丢失问题（测试中）。</t>
  </si>
  <si>
    <t>部门月度会议及分享；佛山地税平台实施指导与交流；禅城升级mcenter ids问题后报错（禅城问题）；</t>
  </si>
  <si>
    <t>准备数据交换平台培训资料，编写培训PPT；
分析贵州现场问题，写数据库测试工具；</t>
  </si>
  <si>
    <t>sdi平台独立打包分拆的实例安装流程对plugins插件目录进行压缩添加处理；</t>
  </si>
  <si>
    <t>1、整理近期SDI平台问题处理清单。
2、与用户方、艾拓方完成近期处理的问题清单确认。
3、作业自动断开链接完成测试，版本发布现场。
4、进行轨迹监控-旅店-住宿信息 是否遗漏数据问题确认。</t>
  </si>
  <si>
    <t>参加研发一部代码分支版本管理讨论交流会议；参加华资软件的2020年度总结及表彰大会；</t>
  </si>
  <si>
    <t>1、近期处理问题清单及确认；
2、为用户展示ES一期功能；
3、收集用户提出的ES需求；
4、确认旅馆住宿信息源端延迟传送导致遗漏数据问题解决方案；
5、补充全省旅馆住宿信息数据；
6、配合艾拓解决其他遗留问题。</t>
  </si>
  <si>
    <t>双库对拷组件设计实现（表结构增加字段验证，目标schema）；禅城环境交换平台ids增加后联调（新12c库要换驱动、改url）；</t>
  </si>
  <si>
    <t>辉：金鹏OEM数据管理平台系统问题及新需求处理；</t>
  </si>
  <si>
    <t>交换平台管理中心核心结构与WORKER整合；
交换平台管理中心核心结构与GANGER整合；</t>
  </si>
  <si>
    <t>BS设计器工程结构整理和评估
分析贵州现场数据交换平台的2个问题</t>
  </si>
  <si>
    <t xml:space="preserve">     </t>
  </si>
  <si>
    <t>云南公安厅现场支持返回</t>
  </si>
  <si>
    <t>病假</t>
  </si>
  <si>
    <t>学：佛山地税多表复制功能；sdi，kettle功能改造</t>
  </si>
  <si>
    <t xml:space="preserve">BS设计器工程与管理中心整合
数据交换平台培训
</t>
  </si>
  <si>
    <t>双库对拷组件设计实现（目标schema）；禅城环境交换平台ids增加后联调（兼容ie）；社保房管项目sqlserver数据库问题协助排查（use Intergra...非N）；sdi-manager安装主机后主机信息未更新（octopus包未提交）；</t>
  </si>
  <si>
    <t>东：食药监模型升级改造；增量表输入组件实现及集成到双库对拷；社保中心房管项目演示支持；</t>
  </si>
  <si>
    <t>参加中心的团队解决问题会议；
杨永健提出的单机kettle问题；
研讨GANGER单机部署设计及兼容问题；</t>
  </si>
  <si>
    <t>sdi平台独立打包分拆的实例安装流程对plugins插件目录进行压缩添加处理；参加公司第五届华资技术交流周培训</t>
  </si>
  <si>
    <t>云南公安厅项目作业无法启动问题协助排查与解决</t>
  </si>
  <si>
    <t>84环境打包后octopus安装启动失败问题排查（octopus包未提交）；佛山地税项目现场连接断开（现场网络维护）、字符串长度超限（iso_1字符集）问题排查</t>
  </si>
  <si>
    <t>分析食药监系统的组件需求；
组织食药监业务系统需求评审会议；</t>
  </si>
  <si>
    <t>请病假</t>
  </si>
  <si>
    <t>佛山地税项目现场字符串长度超限（sybase iso_1字符集字段末位截取）问题排查；地址数据模糊匹配项目机器学习技术应用培训；</t>
  </si>
  <si>
    <t>交换平台管理中心前后端SPRINGMVC整合</t>
  </si>
  <si>
    <t>plugins插件目录压缩功能代码提交及确认沟通；参加公司第五届华资技术交流周培训</t>
  </si>
  <si>
    <t>昆明现场ftp作业卡住问题排查分析；</t>
  </si>
  <si>
    <t>参加公司年会；</t>
  </si>
  <si>
    <t>准备本年度的数据交换平台研发内容及计划排期；</t>
  </si>
  <si>
    <t>python自动运营工具ansible的学习，安装与试用；plugins插件目录压缩功能代码开发整理；</t>
  </si>
  <si>
    <t>昆明现场ftp作业卡住问题排查分析及讨论；</t>
  </si>
  <si>
    <t>贵阳现场部分作业调度问题排查（1.23数据库服务重启造成）；hudson持续集成工具研究；</t>
  </si>
  <si>
    <t>sdi基于postgresql库部署后的缺陷问题解决；plugins插件目录压缩功能代码缺陷问题解决；参加公司第五届华资技术交流周培训</t>
  </si>
  <si>
    <t>sdi-manager打war后缺陷问题解决（gbase获取metaData报错）；裔东增量表输入组件修改保存后步骤id发生变化问题排查（插件依赖包）；</t>
  </si>
  <si>
    <t>贵阳模板调整；食药监开发跟进；</t>
  </si>
  <si>
    <t>完成交换平台的食药监定制模板接口的开发和联调；
开发交换平台的作业状态更新接口；</t>
  </si>
  <si>
    <t>1.部门会议
2.解决贵州现场问题；
3.数据交换平台的整体优化改造(集成SPRINGMVC)；</t>
  </si>
  <si>
    <t xml:space="preserve">软件平台的文档工具dumi学习与使用，sdi平台资料文档工程搭建；
</t>
  </si>
  <si>
    <t>sdi-manager打war包处理过程手册；数据管理平台环境搭建；</t>
  </si>
  <si>
    <t>学：sdi-manager打war包流程问题解决；sdi，kettle功能改造</t>
  </si>
  <si>
    <t>hudson持续集成工具研究；贵阳顾磊反映hbase抽取异常，hbase配置问题；</t>
  </si>
  <si>
    <t>数据交换平台的整体优化改造(集成SPRINGMVC)；</t>
  </si>
  <si>
    <t>sdi平台资料文档工程搭建，开始编写sdi平台的资料文档；</t>
  </si>
  <si>
    <t>佛山地税现场worker执行长时间作业日志缺失问题排查（缺少环境变量）；数据管理平台数据清理工作（表数、表空间、表名及备注）</t>
  </si>
  <si>
    <t>hudson持续集成工具研究；UTL交换平台功能对标清单整理；准备SDI06迭代需求资料；</t>
  </si>
  <si>
    <t>开发定制模板生成作业的接口；</t>
  </si>
  <si>
    <t>生产管理平台小组工时月度分配；worker、kettle日志记录控制研究；gbase库表字段获取工具及协调；</t>
  </si>
  <si>
    <t>前端框架沟通；迭代计划会议；食药监作业不能启动问题（启动时间早于当前）；</t>
  </si>
  <si>
    <t>开发定制模板生成作业的接口；
完成数据交换平台及数据中心的年度研发计划；</t>
  </si>
  <si>
    <t>前端程序打包及参数配置优化；数据管理平台数据清理工作（表数、表空间、表名及备注）；gbase库表字段获取问题排查协助；</t>
  </si>
  <si>
    <t>UTL交换平台测试部署，功能对标清单整理；</t>
  </si>
  <si>
    <t>完成定制模板生成作业的接口开发，并发布接口文档；
指导食药监同事完成数据交换平台的部署；</t>
  </si>
  <si>
    <t>远程办公后相关环境检查与整理，工具问题沟通；sdi产品下一个计划周期的需求收集与分析，及任务和工作分解；</t>
  </si>
  <si>
    <t>hudson持续集成工具部署测试；食药监打包流程研究；</t>
  </si>
  <si>
    <t>解决贵州现场定制模型生成作业接口的问题；</t>
  </si>
  <si>
    <t>sdi产品下一个计划周期的需求确认沟通和任务分解；敏捷管理系统禅道内sdi产品需求整理和迭代处理；</t>
  </si>
  <si>
    <t>广州房管数据平台项目sqlserver数据抽取出错问题排查解决；敏捷管理系统禅道内sdi产品迭代整理及SDI第二期-V2.4.3-20200213-32迭代计划会议；</t>
  </si>
  <si>
    <t xml:space="preserve"> 1.完成作业发布的接口，并发布接口文档；
2.数据交换平台的整体优化改造及单机版实现；
3.完成交换平台管理中心与GANGER集成；
</t>
  </si>
  <si>
    <t>sdi开发分支合并及新迭代SDI第二期-V2.4.3-20200213-32迭代分支创建，迭代资料整理；广州房管数据平台项目hbase数据抽取报错问题、sqlserver数据抽取出错问题排查解决；</t>
  </si>
  <si>
    <t>禅城项目作业立即启动功能接口改造；年前云南公安厅项目现场支持总结与沟通；slc产品集成功能改造与协调；</t>
  </si>
  <si>
    <t>hudson持续集成工具部署测试；UTL交换平台功能对标清单整理；贵阳根据库查关联转换和作业；bs设计器开发操作日志记录；福建反馈连接异常信息</t>
  </si>
  <si>
    <t>药监行业中心的sdi相关业务介绍和解说；SDI第二期-V2.4.3-20200213-32迭代任务开发；广州房管数据平台项目hbase数据抽取报错问题排查解决；</t>
  </si>
  <si>
    <t>slc产品集成功能改造与协调；云南公安厅项目SDI技术支持；</t>
  </si>
  <si>
    <t>禅城作业历史日志中状态不一致问题分析；测试环境作业重复执行（无worker仍在调度重复作业）；</t>
  </si>
  <si>
    <t>年终个人工作总结及绩效面谈；云南公安厅项目ganger重启问题排查解决；</t>
  </si>
  <si>
    <t>功能中心需求收集会议（2软）；新框架资料准备+评审；</t>
  </si>
  <si>
    <t>云南公安厅项目sdi manager重启恢复与解决；</t>
  </si>
  <si>
    <t>禅城作业历史日志中状态不一致问题分析；食药监主干合并升级后作业启动不执行问题解决（JobKettleService类主干和分支都修改；jobworker-core包版本冲突发布失败）；</t>
  </si>
  <si>
    <t>药监行业中心的sdi产品使用指导；SDI第二期-V2.4.3-20200213-32迭代任务开发，日志文件压缩处理研究；</t>
  </si>
  <si>
    <t>交换平台需求收集调研（4软）；禅城作业历史日志中状态不一致问题分析；</t>
  </si>
  <si>
    <t>sdi开发任务日志文件压缩功能讨论；SDI第二期-V2.4.3-20200213-32迭代任务开发及相关问题协调、接口对接；</t>
  </si>
  <si>
    <t>sdi产品新迭代需求整理；云南公安厅项目作业数据丢失问题排查；xxl job调度平台交流沟通；</t>
  </si>
  <si>
    <t>请假</t>
  </si>
  <si>
    <t>宏霖迭代任务开发指导；sdi代码打包工具更新问题排查分析；SDI第二期-V2.4.3-20200213-32迭代任务开发及相关问题协调；</t>
  </si>
  <si>
    <t>云南公安厅项目作业问题排查分析；下午请假</t>
  </si>
  <si>
    <t>宏霖迭代任务开发指导；sdi代码优化整理和迭代问题跟踪；年度工作绩效考核面谈；</t>
  </si>
  <si>
    <t>云南公安厅项目作业问题排查分析；新版本打包和整理发布准备；</t>
  </si>
  <si>
    <t>整理和更新迭代记录文档及会议资料；工时分配；参加迭代演示验收会议和总结会议</t>
  </si>
  <si>
    <t>宏霖迭代任务开发指导；sdi代码优化整理和迭代问题跟踪；</t>
  </si>
  <si>
    <t>早漏卡</t>
  </si>
  <si>
    <t>云南公安厅项目mysql锁表问题排查分析；新版本打包和整理发布准备；</t>
  </si>
  <si>
    <t>整理更新迭代记录文档及资料；作业日志遗漏分析；食药监作业名修改替换；</t>
  </si>
  <si>
    <t>SDI第二期-V2.45-20220202-39迭代计划和任务分解会议；迭代任务开发（版本与更新方式改进-手动点击升级worker）；</t>
  </si>
  <si>
    <t>社保禅城数据交换平台hbase组件使用指导和支持；SDI产品新迭代需求整理；禅道中SDI产品缺陷，计划整理；</t>
  </si>
  <si>
    <t>作业日志遗漏分析；食药监作业名修改替换接口优化；</t>
  </si>
  <si>
    <t>迭代任务开发（版本与更新方式改进-手动点击升级worker）；</t>
  </si>
  <si>
    <t>青云平台环境删除恢复整理；SDI需求整理；</t>
  </si>
  <si>
    <t>前端框架学习及培训；食药监作业名修改替换接口优化；</t>
  </si>
  <si>
    <t>社保佛山禅城大数据中心项目tomcat ajp漏洞问题确认沟通；sdi迭代缺陷整理与解决；</t>
  </si>
  <si>
    <t>前端技术学习，node、npm等；SDI后续需求整理；</t>
  </si>
  <si>
    <t>bs设计器验收演示会议；前端框架脚手架搭建；</t>
  </si>
  <si>
    <t>SDI测试bug问题修复；迭代任务开发（版本与更新方式改进-手动点击升级worker）；</t>
  </si>
  <si>
    <t>sdi迭代缺陷整理与解决；社保佛山禅城大数据中心项目tomcat ajp漏洞问题确认沟通；</t>
  </si>
  <si>
    <t>迭代任务开发（版本与更新方式改进-手动点击升级worker）；迭代任务功能演示及问题沟通；</t>
  </si>
  <si>
    <t>昆明公安厅SDI支持工作工时统计整理；昆明公安厅SDI抽取缺数据问题排查；社保禅城数据交换平台迁移工作指导</t>
  </si>
  <si>
    <t>青云重建后sybase数据库恢复；部门组织架构调整沟通；青云平台环境恢复指导及验证（mysql，zk）；</t>
  </si>
  <si>
    <t>辉：金鹏OEM数据管理平台系统问题及新需求处理；青云重建后系统重装和恢复；</t>
  </si>
  <si>
    <t>省实文件导入第一期-V1.0-202002027-1迭代任务开发计划会议；sdi迭代缺陷整理与解决；</t>
  </si>
  <si>
    <t>晚漏卡</t>
  </si>
  <si>
    <t>昆明公安厅SDI抽取缺数据问题排查解决；社保禅城数据交换平台作业调度丢失问题排查、补充；</t>
  </si>
  <si>
    <t>部门结构调整会议；佛山地税数据平台缓冲目标库模型讨论；sdi-manager启动失败日志频繁打印问题排查；</t>
  </si>
  <si>
    <t>学：部门结构调整、佛山地税项目沟通；数据管理平台数据清理工作；kettle4分包打包依赖管理；</t>
  </si>
  <si>
    <t>作业日志状态不一致分析解决；SDI前后台框架学习；禅城数据库重启后ganger不调度、进程挂起问题分析</t>
  </si>
  <si>
    <t>省实文件导入第一期-V1.0-202002027-1迭代任务开发（模板上传功能前后端开发）；</t>
  </si>
  <si>
    <t>昆明公安厅SDI抽取缺数据问题排查解决（同一时间批量数据部分延迟问题）；社保禅城数据交换平台作业调度丢失问题排查、补充；</t>
  </si>
  <si>
    <t>sdi-manager启动失败日志频繁打印问题解决；ant打包程序；数据管理平台数据清理工作（表数、表空间、表名及备注）；</t>
  </si>
  <si>
    <t>东：增量表输入组件实现及集成到双库对拷；</t>
  </si>
  <si>
    <t>eclipse导入统一开发框架问题解决（4.6以下版本插件安装失败）；SDI-统一开发框架开发沟通会议</t>
  </si>
  <si>
    <t>迭代任务开发及代码合并（版本与更新方式改进-手动点击升级worker）；</t>
  </si>
  <si>
    <t>昆明公安厅SDI抽取缺数据问题沟通（同一时间批量数据部分延迟问题）；社保禅城数据交换平台作业调度丢失问题排查、补充；</t>
  </si>
  <si>
    <t>数据管理平台数据清理工作（表数、表空间、表名及备注）；sdi-manager, kettle4个分包打包依赖问题解决；</t>
  </si>
  <si>
    <t>超：sdi-manager和数据管理平台bug修复；</t>
  </si>
  <si>
    <t>eclipse导入统一开发框架问题解决（eclipse4.6基于jdk8，工程编译用jdk7）；webstorm集成前端及学习；</t>
  </si>
  <si>
    <t>版本与更新方式改进-宏霖开发协助指导及代码合并；迭代任务开发及代码合并（版本与更新方式改进-手动点击升级worker）；</t>
  </si>
  <si>
    <t>前端程序打包及参数配置优化；sdi-manager启动失败日志频繁打印问题解决；</t>
  </si>
  <si>
    <t>贵阳kettle抽数据到solr出错；作业日志状态不一致问题测试及优化；框架集成问题沟通（flash,axis）</t>
  </si>
  <si>
    <t>SDI第二期-V2.4.4-20200512-38迭代任务开发（修改升级过程的程序，先升级增量包，后附加version内容）</t>
  </si>
  <si>
    <t>省实文件导入第一期-V1.0-202002027-1迭代任务开发（模板上传、数据上传功能前后端开发）；</t>
  </si>
  <si>
    <t>新框架集成flash、axis研究；跨域访问失败问题解决；</t>
  </si>
  <si>
    <t>省实文件导入第一期-V1.0-202002027-1迭代任务开发（模板上传功能前后端开发）；社保项目广东大数据平台sqlserver数据抽取驱动包问题排查解决</t>
  </si>
  <si>
    <t>社保禅城数据交换平台个别作业调度丢失问题排查、补充；月度计划整理与沟通、新迭代需求整理与确认；</t>
  </si>
  <si>
    <t>编写SDI工程代码开发规范，整理项目工程README.MD；</t>
  </si>
  <si>
    <t>1、完成数据上传和模板上传前后端交互功能及代码优化； 2、社保项目中sqlserver数据入oracle时日期类型数据格式错误问题排查与解决；</t>
  </si>
  <si>
    <t>月度计划整理与沟通、新迭代需求整理与确认；禅城数据交换平台作业报数据库连接问题排查与确认；</t>
  </si>
  <si>
    <t>数据管理平台数据清理工作及验证；sdi前端程序打包及参数配置优化；</t>
  </si>
  <si>
    <t>辉：金鹏OEM数据管理平台系统问题及新需求处理；各中心数据交换平台需求沟通及整理；</t>
  </si>
  <si>
    <t xml:space="preserve">模板上传、数据上传功能:模板验证、数据入库对接 及异常处理，日志打印，表单校验； </t>
  </si>
  <si>
    <t>新迭代需求整理与确认；禅城数据交换平台旧版升级新版问题确认与沟通；</t>
  </si>
  <si>
    <t>kettle4个分包打包依赖问题解决；佛山地税项目开发实现讨论；社保中心数据交换平台培训沟通；</t>
  </si>
  <si>
    <t>学：数据管理平台数据清理工作；kettle4分包打包依赖管理；</t>
  </si>
  <si>
    <t>整理迭代计划会议的业务需求；jdk、eclipse版本测试；</t>
  </si>
  <si>
    <t>模板上传、数据上传功能:代码整理，样式优化，缺陷修复； 售前林冬霞要求的sdi产品技术路线文书编写；</t>
  </si>
  <si>
    <t>SDI第二期-V2.3.5-20190304-24迭代需求计划会议；与实施组沟通实施和运维过程中遇到的难重点；</t>
  </si>
  <si>
    <t>食药监数据交换平台培训及沟通；kettle4个分包打包依赖改造处理；</t>
  </si>
  <si>
    <t>整理和讨论迭代计划会议的业务需求；组织召开迭代计划会议；培训sdi开发规范；</t>
  </si>
  <si>
    <t>模板上传、数据上传功能:数据上传file组件样式调整缺陷修复；</t>
  </si>
  <si>
    <t>禅城数据交换平台作业配置运行报错问题排查与沟通；公司环境worker日志问题排查解决；</t>
  </si>
  <si>
    <t>社保中心数据交换平台培训及沟通；Kettle分包打包依赖解决后配置文件未编译问题；</t>
  </si>
  <si>
    <t>分析贵阳现场个别作业一直显示运行中，不再调度的问题；</t>
  </si>
  <si>
    <t>sdi平台基于达梦数据库部署的程序实体jpa改造方式研究；</t>
  </si>
  <si>
    <t>新环境部署sdi后问题排查解决（作业调度不能启动，容量水球显示错误）；sdi历史版本路径确认；数据治理平台需求讨论沟通；</t>
  </si>
  <si>
    <t>测试、提供统一的jdk和eclipse开发版本及规范文档；搬办公室；</t>
  </si>
  <si>
    <t>模板上传、数据上传功能:数据上传file组件样式调整缺陷修复；模板上传、数据上传功能:swagger补充，缺陷修复；</t>
  </si>
  <si>
    <t>参与统一框架的迭代演示会议；整理svn中sql脚本、项目工程备份路径；食药监需求沟通</t>
  </si>
  <si>
    <t>模板上传、数据上传功能:缺陷修复，数据上传功能实现讨论及新需求的开发；</t>
  </si>
  <si>
    <t>SDI测试环境npm打包报错问题排查解决；SDI第二期-V2.3.5-20190304-24迭代任务开发（转换执行慢时的步骤提醒功能）；</t>
  </si>
  <si>
    <t>模板上传、数据上传功能:模板上传file组件样式调整及缺陷修复；模板上传、数据上传功能:缺陷修复，接口联调；</t>
  </si>
  <si>
    <t>早晚漏卡</t>
  </si>
  <si>
    <t>SDI第二期-V2.3.5-20190304-24迭代任务开发（转换执行慢时的步骤提醒功能）；sdi公司测试环境worker异常busy问题排查；</t>
  </si>
  <si>
    <t>gbase数据库的大数据量表元数据获取失败问题协调解决；webservice查询组件执行失败问题排查；前端参数提取封装问题解决；</t>
  </si>
  <si>
    <t>辉：金鹏OEM数据管理平台系统问题及新需求处理；数据管理平台需求收集及设计沟通；</t>
  </si>
  <si>
    <t>ajp漏洞升级tomcat新版本验证；excel文件导入系统功能开发：缺陷处理，对接联调；</t>
  </si>
  <si>
    <t>实例安装各项配置参数顺序异常问题；管理中心增加DM达梦数据源；tomcat war包方式发布的tomcat优化（启动参数及默认应用清理）；sdimanager启动时报octopus.log文件；</t>
  </si>
  <si>
    <t>学：数据管理平台数据清理工作；war包方式打包程序改造及优化；</t>
  </si>
  <si>
    <t>顾磊反映的hbaseoutput组件问题（列族family1）；flash集成跟进；消息中心服务端代码获取；食药监空模板作业日志设计；禅城问题重新与分析；资源水晶球后台程序开发</t>
  </si>
  <si>
    <t>excel文件导入系统功能开发：模板用户权限控制开发，缺陷处理，对接联调；</t>
  </si>
  <si>
    <t>SLC license管理系统集成问题排查与解决；SDI第二期-V2.3.5-20190304-24迭代任务开发（转换执行慢时的步骤提醒功能）；</t>
  </si>
  <si>
    <t>数据管理平台历史无用数据清理工作；裔东开发kettle增量模型界面开发指导；多开浏览器可绕过license验证worker实例数问题排查解决；</t>
  </si>
  <si>
    <t>东：现场CDH问题协助排查；增量表输入组件实现及集成到双库对拷；</t>
  </si>
  <si>
    <t>食药监uuid模板优化；与统一框架组开会沟通；资源水晶球后台程序开发</t>
  </si>
  <si>
    <t>昆明公安厅SDI系统数据库卡机重启及系统恢复；禅城数据交换平台作业执行状态结果异常问题处理；SDI第二期-V2.3.5-20190304-24迭代任务开发（转换执行慢时的步骤提醒功能）；</t>
  </si>
  <si>
    <t>数据管理平台历史无用数据清理工作；wiki中历史遗留问题在禅道中进行登记；数据管理平台设计工作沟通；kettle4分包打包问题排查；数据管理平台脚本测试；</t>
  </si>
  <si>
    <t>排查解决贵阳worker宕机问题；资源水晶球后台程序开发</t>
  </si>
  <si>
    <t>离职交接工作整理</t>
  </si>
  <si>
    <t>数据管理平台历史无用数据清理工作及问题解决；作业执行完成时偶发更新日志异常问题排查；</t>
  </si>
  <si>
    <t>与框架组讨论平台对接（作业列表，用户权限及登录）；开发资源水晶球后台；</t>
  </si>
  <si>
    <t>开发资源水晶球后台开发；IETL迭代演示会议；前端框架学习；</t>
  </si>
  <si>
    <t>excel文件导入系统功能开发：缺陷处理，对接联调，jenkins中集成打包配置；</t>
  </si>
  <si>
    <t>成超的SDI系统告警代码走读与沟通确认；禅城数据交换平台新模板开发；昆明公安厅SDI系统问题协调沟通；</t>
  </si>
  <si>
    <t>昆明公安厅SDI系统问题协调沟通；成超的SDI系统告警代码走读与沟通确认；</t>
  </si>
  <si>
    <t>数据管理平台历史无用数据清理工作及问题解决；SPRINT18迭代需求沟通及需求任务讨论会议；</t>
  </si>
  <si>
    <t>辉：数据治理平台需求收集及设计沟通；平台设计及框架研究；</t>
  </si>
  <si>
    <t>禅城数据交换平台问题排查与解决；迭代任务根进与处理；昆明公安厅SDI系统问题协调沟通；</t>
  </si>
  <si>
    <t>SPRINT18迭代资料整理；14.83公司CDH环境HBASE不能用问题跟进处理及解决；月度组员工时分配；</t>
  </si>
  <si>
    <t>学：SPRINT18迭代需求沟通及需求任务评估；SDI迭代影响佛山地税现场缺陷跟进解决；</t>
  </si>
  <si>
    <t>excel文件导入系统功能开发：缺陷处理，jenkins中集成打包配置； 售前林冬霞售前产品资料检查；社保数据平台环境ganger启动问题排查解决；</t>
  </si>
  <si>
    <t>迭代任务根进与处理；昆明公安厅SDI系统问题协调沟通；禅城数据交换平台问题排查与解决；</t>
  </si>
  <si>
    <t>禅城现场数据交换平台作业排队问题原因排查；HBASEinput,output,wide组件的集群名称自动选择问题；</t>
  </si>
  <si>
    <t>东：Sprint18迭代开发任务开展；</t>
  </si>
  <si>
    <t>协调谭祥想升级webui；工时、报税；优化资源水晶球后台程序；开发规范增加sql规范；优化资源容量球后台程序；开发热部署时不能非localhost访问解决</t>
  </si>
  <si>
    <t>年假</t>
  </si>
  <si>
    <t>超：Sprint18迭代开发任务开展；</t>
  </si>
  <si>
    <t>springboot集成webserver测试；作业列表前后台接口定义；评审下一迭代需求</t>
  </si>
  <si>
    <t>办理离职手续</t>
  </si>
  <si>
    <t>数据管理平台无用菜单清理sql；worker后台打印日志记录行数；HBASEinput,output,wide组件bug问题解决；</t>
  </si>
  <si>
    <t>整理当前迭代评审和总结资料；迭代演示评审会议；</t>
  </si>
  <si>
    <t>食药监中心数据平台项目sdi部署指导及资源情况协调；省实项目数据导入系统迭代演示及总结会议；</t>
  </si>
  <si>
    <t>SDI-07迭代总结会议；食药监模板改造调试； worker停掉后，资源容量最大值未变化问题分析排查；贵阳数据库连接信息被覆盖问题排查；</t>
  </si>
  <si>
    <t>省实项目数据导入系统迭代缺陷处理；食药监中心数据平台项目sdi部署指导及资源情况协调；</t>
  </si>
  <si>
    <t>SDI第二期-V2.3.5-20190304-24迭代资料整理；禅城数据交换平台问题排查与解决；</t>
  </si>
  <si>
    <t>sdi版本整理及代码分支合并和新建；sdi产品新需求讨论及迭代计划会议；</t>
  </si>
  <si>
    <t>迭代演示文档编写整理；SDI第二期-V2.3.5-20190304-24迭代资料整理；</t>
  </si>
  <si>
    <t>食药监数据交换平台作业排队问题排查解决；KETTLE执行转换日志频繁打印问题排查；SPRINT18迭代资料整理及演示评审会议；</t>
  </si>
  <si>
    <t>辉：数据治理平台表结构整理、功能设计、框架搭建；</t>
  </si>
  <si>
    <t>社保事业部广东大数据项目linux系统中作业设计器kettle环境要求沟通讨论；迭代计划任务开发（插入更新组件改造）；</t>
  </si>
  <si>
    <t>SDI第二期-V2.3.5-20190304-24迭代演示会议，总结会议、及迭代资料整理；</t>
  </si>
  <si>
    <t>HBASEinput,output,wide组件bug问题解决；金鹏数据比对需求模型了解；</t>
  </si>
  <si>
    <t>学：SPRINT18迭代演示评审、总结会议及遗留BUG解决；BS设计器大数据插件转换问题解决</t>
  </si>
  <si>
    <t>整理SDI-08的新迭代需求；参加SDI-08迭代计划会议；</t>
  </si>
  <si>
    <t>迭代计划任务开发及bug修复（插入更新组件优化）；</t>
  </si>
  <si>
    <t>昆明公安厅SDI系统民航订票信息数据重复问题排查与解决；SDI第二期-V2.3.5-20190304-24迭代演示总结会议的资料整理；</t>
  </si>
  <si>
    <t>postgresql9.3数据库安装及kettle抽取测试；HBASEinput,output,wide组件bug问题解决；</t>
  </si>
  <si>
    <t>东：禅城现场抽取模型问题排查解决；</t>
  </si>
  <si>
    <t>参加框架组登录功能模块的讨论；协助分析贵阳现场数据库连接信息被覆盖问题；SDI-MANAGER集成webservice服务；</t>
  </si>
  <si>
    <t>SDI第二期下一迭代需求整理；昆明公安厅SDI系统民航订票信息数据重复问题排查与解决；</t>
  </si>
  <si>
    <t>HBASEinput,output,wide组件bug问题解决；二中心年度需求对接沟通会议；配合云南昆明现场演示环境搭建、排查及测试；</t>
  </si>
  <si>
    <t>超：金鹏数据管理平台问题排查解决；</t>
  </si>
  <si>
    <t>SDI-MANAGER集成webservice服务；解决想想反馈的设计器中修改数据库连接后未更新的问题；</t>
  </si>
  <si>
    <t>BS设计器HBASEinput,output,wide组件代码结构优化；配合云南昆明现场演示环境问题排查；</t>
  </si>
  <si>
    <t>SDI-Manager集成webservice服务；食药监的空白转换的作业设计模型；食药监多用户公用单kettle用户改造实现；</t>
  </si>
  <si>
    <t>迭代任务开发及bug修复（插入更新组件优化，作业日志生成和查询机制优化）；昆明sdi平台csv文件导出分割功能配置指导</t>
  </si>
  <si>
    <t>食药监多用户公用单kettle用户改造实现；</t>
  </si>
  <si>
    <t>迭代任务开发及bug修复（插入更新组件优化，作业日志生成和查询机制优化）；sdi新迭代计划和需求分解会议；</t>
  </si>
  <si>
    <t>SDI第二期下一迭代需求整理；昆明公安厅SDI系统现场支持；</t>
  </si>
  <si>
    <t>设计SDI-设计器权限控制流程，编写SDI-设计器权限控制设计文档</t>
  </si>
  <si>
    <t>sdi新迭代任务开发（昆明分支从主干进行功能合并）；</t>
  </si>
  <si>
    <t>SDI第二期-V2.3.6-20190401-25迭代计划会议及迭代资料整理；</t>
  </si>
  <si>
    <t>公司青云环境恢复；SDI环境重启恢复（zookeeper用户权限问题）；二中心（社保）省职业技能鉴定预警系统SDI需求沟通；贵阳公安厅数据交换平台资源库重启后系统重启协助指导；</t>
  </si>
  <si>
    <t>辉：昆明公安厅现场支持；请假</t>
  </si>
  <si>
    <t>sdi manager的tomcat版本升级指导；sdi新迭代任务开发（昆明分支从主干进行功能合并，kettle maven集成处理）；</t>
  </si>
  <si>
    <t>昆明公安厅SDI系统现场支持； SDI第二期-V2.3.6-20190401-25迭代任务补充与整理；</t>
  </si>
  <si>
    <t>Kettle的HBASE组件bug整理与处理；二中心（社保）省职业技能鉴定预警系统SDI需求沟通；贵阳公安厅数据交换平台资源库重启后系统重启协助指导；</t>
  </si>
  <si>
    <t>学：青云SDI环境重启恢复；二中心鉴定中心预警系统需求沟通；</t>
  </si>
  <si>
    <t>sdi新迭代任务开发和联调测试（昆明分支从主干进行功能合并)</t>
  </si>
  <si>
    <t>昆明公安厅SDI系统现场技术支持（作业调度丢失问题、作业数据遗漏问题排查）；</t>
  </si>
  <si>
    <t>排查kettle输出到postgresql出错走异常处理后余下数据不能正常处理问题；昆明现场worker无作业执行仍BUSY问题协助排查解决；昆明现场JSON+MD5模型设计研究；</t>
  </si>
  <si>
    <t>东：增量组件问题解决；MD5增量模型开发整理</t>
  </si>
  <si>
    <t>昆明公安厅SDI系统现场技术支持（作业调度暂停问题排查）；</t>
  </si>
  <si>
    <t>超：金鹏数据管理平台问题排查解决；SDI bug修复</t>
  </si>
  <si>
    <t>SDI-Manager集成webservice集成测试；</t>
  </si>
  <si>
    <t>SDI-Manager集成webservice，编写junit测试类；</t>
  </si>
  <si>
    <t>使用websocket完成首页容量球数据推送；与陈怡讨论octopus集成</t>
  </si>
  <si>
    <t>sdi新迭代任务开发和联调测试（昆明分支从主干合并问题处理，作业保存失败，ganger无法启动)</t>
  </si>
  <si>
    <t>昆明公安厅SDI系统现场技术支持（作业数据遗漏问题排查，定时dump线程无输出问题排查解决）；</t>
  </si>
  <si>
    <t>金鹏数据比对作业模型接口设计；佛山自然人库项目作业立即执行实现研究；广州公安厅排查现场作业不执行问题；</t>
  </si>
  <si>
    <t>sdi新迭代任务开发（designer集成用maven做依赖管理开发）</t>
  </si>
  <si>
    <t>赶赴云南昆明公安厅现场支持；昆明现场分支代码合并后测试和升级；</t>
  </si>
  <si>
    <t>学：昆明公安厅现场技术支持、问题协查；昆明分支代码整理合并、测试、升级；</t>
  </si>
  <si>
    <t>sdi新迭代任务开发和联调测试（designer集成用maven做依赖管理开发）</t>
  </si>
  <si>
    <t>sdi所有工程迁往gitlab进行管理；昆明公安厅SDI系统现场技术支持（作业数据遗漏问题排查，定时dump线程无输出问题排查解决）；</t>
  </si>
  <si>
    <t>昆明现场分支代码合并后测试和升级，及代码提交内容说明；现场SDI平台监控情况分析及问题处理</t>
  </si>
  <si>
    <t>食药监广东民政项目数据交换平台问题排查分析（达梦库连接报错，字段类型匹配处理）；sdi新迭代任务联调测试（designer集成用maven做依赖管理开发）</t>
  </si>
  <si>
    <t>昆明公安厅SDI系统现场技术支持（定时dump线程无输出问题排查解决）；sdi所有工程迁往gitlab进行管理；</t>
  </si>
  <si>
    <t>现场SDI平台监控情况分析及问题处理（网络请求超时）；双ganger部署升级；worker容量扩展（每worker分配5作业，部署双倍worker）；</t>
  </si>
  <si>
    <t>超：佛山自然人库分支立即执行功能开发；</t>
  </si>
  <si>
    <t>现场SDI平台监控情况分析及问题处理（内存占用报警）；SDI平台问题收集和整理；作业每小时流量统计存储过程功能开发；</t>
  </si>
  <si>
    <t>转换中获取作业batchid方式指导；食药监查询条件中特殊字符转义处理；webservice集成后缺陷处理（服务名首字母大写，方法名重复时访问失败）</t>
  </si>
  <si>
    <t>现场SDI平台监控情况分析及问题处理（日志访问慢，仪表盘最大值爆表调整）；worker的revisejoblog功能；网络恢复后实例安装功能修复；</t>
  </si>
  <si>
    <t>prepare ganger推送错误容量负荷；</t>
  </si>
  <si>
    <t>陈怡的jdbctemp处理；webservice集成后缺陷处理（服务名首字母大写，方法名重复时访问失败）</t>
  </si>
  <si>
    <t>上一迭代开发的bug处理（版本分支合成后异常，kettle集成maven执行错误）；新迭代文档任务编写；</t>
  </si>
  <si>
    <t>webservice集成后缺陷处理（服务名首字母大写，方法名重复时访问失败）；海南sdi作业启动失败无日志（触发器的影响）；</t>
  </si>
  <si>
    <t>上一迭代开发的bug处理（，kettle集成maven部分主键报错）；新迭代文档任务编写；</t>
  </si>
  <si>
    <t>昆明公安厅SDI系统现场问题处理协调、沟通及总结会议；公共技术研发中心季度例会；</t>
  </si>
  <si>
    <t>现场大机库网吧数据增量抽取卡住问题排查解决；排查民航数据订座信息作执行过程中输入输出为空问题；</t>
  </si>
  <si>
    <t>航信公司SDI项目验收沟通会议及版本要求处理；sdi所有工程迁往gitlab进行管理；</t>
  </si>
  <si>
    <t>解决民航数据订座信息作执行过程中输入输出为空问题；SDI平台执行xml作业、7zip解压作业报错问题协助；worker汇报异常，导致作业脱管问题跟进；</t>
  </si>
  <si>
    <t>SPOON集成完成测试，通知食药监；worker去tomcat改造及代码提取</t>
  </si>
  <si>
    <t>禅城环境md5模板调整，并解决现场修改出现的问题；航信公司SDI项目验收沟通会议及版本要求处理；sdi所有工程迁往gitlab进行管理；</t>
  </si>
  <si>
    <t>排查研究worker汇报异常，导致作业脱管问题；现场民航订座数据抽取作业执行慢排查解决（数据重复造成tbase批量载入报错后走插入更新慢）；配合esb工程在昆明现场的环境测试；</t>
  </si>
  <si>
    <t xml:space="preserve">1.webservice集成后生产模板接口报错及卡住问题（依赖包exclude,PermSize调大）；SDI-8迭代验收演示会议、总结会议
</t>
  </si>
  <si>
    <t>worker去tomcat改造测试；ganger报root节点获取失败问题分析与排查</t>
  </si>
  <si>
    <t>航信公司SDI项目验收沟通会议及版本要求处理；禅城环境md5模板调整及现场修改需求处理沟通；SDI小组月度任务计划工时分配；</t>
  </si>
  <si>
    <t>昆明SDI运维培训，现场程序环境检查内存、磁盘的资源情况，数据库binlog清理，worker、ganger实例程序同步到sdi-manager；</t>
  </si>
  <si>
    <t xml:space="preserve">1.webservice集成后测试；octopus集成后JdbcTemplate被覆盖；食药监反馈ganger日志文件过大；
</t>
  </si>
  <si>
    <t>作业执行被卡排查问题；清理生成平台缺陷；与军哥确认octopus需求</t>
  </si>
  <si>
    <t>航信公司SDI项目验收沟通会议及版本要求处理；sdi所有工程迁往gitlab管理整理和修改；</t>
  </si>
  <si>
    <t>现场程序环境检查；从昆明返回广州；</t>
  </si>
  <si>
    <t xml:space="preserve">1.公司测试环境升级ganger（管理中心实例管理无对象，启动作业无响应）；食药监反馈ganger日志文件过大；webservice broken pipe问题； </t>
  </si>
  <si>
    <t>和电政过贵阳现场任务；处理作业日志记录问题；参加航天云宏的技术沟通会议；</t>
  </si>
  <si>
    <t>昆明现场sdi所有代码整理提交；出差报销事务处理；月度组员工时分配；</t>
  </si>
  <si>
    <t>1.电政测试环境升级后测试验证（已完成基本测试，切换测试继续跟踪）；食药监反馈ganger日志文件过大问题（搭建调试环境）；</t>
  </si>
  <si>
    <t>参加达梦数据库同步工具交流会议；食药监排查解决作业启动报唯一主键约束冲突问题（orm工具类冲突）；和彭思伟确认大字段插入更新问题；</t>
  </si>
  <si>
    <t>食药监反应日志文件过大，调试环境搭建及准备；容量水球websocket开发实现；</t>
  </si>
  <si>
    <t>与食药监联调测试，解决集成环境worker启动问题(java版本不匹配)，调整作业模板</t>
  </si>
  <si>
    <t>社保事业部环境转换执行报错问题处理沟通；上月工作计划任务工时填写；社保事业部作业导入导出整理文档编写；sdi所有工程迁往gitlab后jenkins解决；</t>
  </si>
  <si>
    <t>验证执行器访问日志数据库的权限，及删除操作增加日志，解决交换平台的乱码问题，集成达梦数据到交换平台支持</t>
  </si>
  <si>
    <t>社保事业部环境作业和转换导出导入迁移事项指导；昆明公安厅SDI系统现场问题处理、协调及沟通；</t>
  </si>
  <si>
    <t>公司环境hbase无法访问问题解决；昆明现场代码版本提交及合并；关系图数据库知识补充及kettle插件应用了解；（jdk1.8版本）</t>
  </si>
  <si>
    <t>达梦数据支持开发与测试；ganger连接池管理；</t>
  </si>
  <si>
    <t xml:space="preserve"> SDI第二期-V2.3.6-20190401-25迭代任务补充与整理；昆明公安厅SDI系统现场问题处理、协调及沟通；</t>
  </si>
  <si>
    <t>neo4j kettle集成测试，代码修改；食药监交换平台问题沟通（作业状态不更新问题）；</t>
  </si>
  <si>
    <t>学：昆明公安厅现场技术支持、问题协查；关系图数据库知识补充及kettle插件集成和修改；佛山地税项目现场实施；</t>
  </si>
  <si>
    <t>容量水球websocket开发实现；整理贵阳现场交换平台升级文档及升级包；</t>
  </si>
  <si>
    <t>batchid通过序列号来实现，替代锁表取最大值；解决贵阳现场更新数据源异常（存在类型为IMPALA的数据库类型）；kettle优化通过name获取databasemetas全量查询的问题；</t>
  </si>
  <si>
    <t>昆明公安厅SDI系统现场问题处理、协调及沟通；SDI第二期-V2.3.6-20190401-25迭代任务整理；</t>
  </si>
  <si>
    <t>食药监交换平台问题沟通排查（作业状态不一致问题）；佛山地税上线功能需求讨论确认，neo4j kettle集成测试、代码修改；</t>
  </si>
  <si>
    <t>超：SDI缺陷修复</t>
  </si>
  <si>
    <t>整理迭代需求与计划内容；组织SDI-09迭代计划会议；</t>
  </si>
  <si>
    <t>多线程方式去获取ganger client，避免偶尔未初始化错误；作业模板调整（记录错误日志步骤的ERR_MSG需在前一步骤指定)；解决worker日志只记录在数据库，发生读取异常时信息未记录的问题</t>
  </si>
  <si>
    <t>海南海口民政数据中心项目平台部署问题指导与处理；昆明公安厅SDI系统现场问题处理、协调及沟通；</t>
  </si>
  <si>
    <t>佛山地税项目现场实施（缓冲库历史数据、社保数据到MPP,MPP数据到HBASE数据抽取）</t>
  </si>
  <si>
    <t>安：佛山地税项目现场实施及问题跟进；</t>
  </si>
  <si>
    <t>协调现场工作，指导现场升级；整理迭代需求与计划内容；组织SDI-09迭代计划会议；</t>
  </si>
  <si>
    <t>跟进kettle在大字段更新时，如果原数据为空，无法更新，报错问题； 优化worker启动脚本，作业日志记录的缓存问题处理；广州医政生产环境部署配合及问题排查（作业生成接口的源表和目标表字段不匹配）</t>
  </si>
  <si>
    <t>食药监数据交换平台民政项目问题沟通；佛山社保数据交换平台作业启动不了问题查看；昆明现场sdi问题沟通解决（增量组件from关键字）；</t>
  </si>
  <si>
    <t>右：SDI前后端开发学习</t>
  </si>
  <si>
    <t>容量水球websocket开发实现；解决webservice集成后出现插件不存在问题；</t>
  </si>
  <si>
    <t>广州医政生产环境部署配合及问题排查（数据类型转换异常为oracle版本不一致，测试环境的INTEGER到现场成为NUMBER）</t>
  </si>
  <si>
    <t>昆明现场sdi问题巡查与沟通；食药监数据交换平台民政项目问题沟通；</t>
  </si>
  <si>
    <t>cron表达式问题排查；容量水球websocket开发实现；</t>
  </si>
  <si>
    <t>食药监部署数据交换平台，配合排查及解决问题（数据类型转换异常，初始化数据配置等）</t>
  </si>
  <si>
    <t>昆明公安厅SDI系统现场问题处理、协调及沟通；海南海口民政数据中心项目平台部署问题指导与处理；</t>
  </si>
  <si>
    <t>海南海口民政数据中心项目平台部署问题指导与处理；禅城环境接口模板生成作业打开报错问题与处理；</t>
  </si>
  <si>
    <t>协助排查电政表输入等插件选择数据源无反应问题；kettle资源库操作的日志记录优化（删除作业、转换记录日志）</t>
  </si>
  <si>
    <t>昆明公安厅SDI系统现场作业数据未抽取问题排查，kafka作业报错问题排查；</t>
  </si>
  <si>
    <t>开发cs版达梦数据库插件，测试数据交换平台的BS设计器对DM、MYSQL,SQLSERVER的支持及问题解决；</t>
  </si>
  <si>
    <t>何健安调试指导，成超作业模板问题排查；云南昆明sdi worker数被减问题排查（ganger在网络断开并立即重连时leader短时丢失和得到造成worker不通知）；</t>
  </si>
  <si>
    <t>辉：数据治理平台需求整理、计划、迭代处理；</t>
  </si>
  <si>
    <t>容量水球websocket测试、验证（ganger重连manager出错，前台判断作业状态进行提示）；</t>
  </si>
  <si>
    <t>与食药监确认作业管理页面的数据展示问题；优化worker，作业的batchid通过数据库序列来生成，避免锁表</t>
  </si>
  <si>
    <t>worker执行的作业超时时间可用配置参数配置；SDI数据库增加版本控制；数据库初始脚本修改压入安装包中并提交；佛山地税数据增量抽取模型设计指导文档；</t>
  </si>
  <si>
    <t>学：昆明公安厅现场技术支持、问题协查；佛山地税项目现场实施说明编写及沟通；小组月度总结及部门月度会议；</t>
  </si>
  <si>
    <t>福建版本升级更新;解决容量水球bug（异常状态恢复，已使用值超过最大值）</t>
  </si>
  <si>
    <t>worker上增加维护状态（可定义是否打断所有运行的作业）及作业状态汇报机制优化；</t>
  </si>
  <si>
    <t>社保公司测试环境问题；佛山地税现场实施说明编写及沟通；小组月度工作总结及计划；</t>
  </si>
  <si>
    <t>福建版本升级更新;迭代资料整理；贵阳反馈worker丢失问题（有hbase/solr作业）</t>
  </si>
  <si>
    <t>跟进kettle在大字段更新时，如果原数据为空，更新报lob定位器无效问题；</t>
  </si>
  <si>
    <t>昆明公安厅SDI系统现场作业调度停止问题排查，增加日志打印整理；省实演示系统SDI问题确认与SLC集成确认；sdi月度工作内容总结与下月工作计划；</t>
  </si>
  <si>
    <t>安：佛山地税项目实施向导功能开发；</t>
  </si>
  <si>
    <t>SDI-09迭代评审、总结会议；</t>
  </si>
  <si>
    <t>公司测试环境备用ganger重复自检及非leading接收请求问题排查解决；sdi manager增加用户名和ip日志打印；sdi和slc集成问题处理；二中心实例启停操作报错；</t>
  </si>
  <si>
    <t>福建交换平台升级后作业显示不出问题分析排查;SDI-09迭代资料整理；</t>
  </si>
  <si>
    <t>sdi bs设计器接口设计文档内容梳理与分析；文件导入系统的禅道bug缺陷问题梳理；</t>
  </si>
  <si>
    <t>sdi小组工作安排协调沟通；sdi和slc集成问题处理；二中心实例启停操作报错问题排查解决；社保中心sdi版本部署升级；</t>
  </si>
  <si>
    <t>增量表输入组件增加增量时间戳的重置功能；佛山地税现场实施说明编写及沟通；sdi实例页面jvm信息无数据问题排查；佛山地税模型改造；昆明公安厅现场sdi问题收集；</t>
  </si>
  <si>
    <t>辉：数据治理平台迭代1计划会议及开展；数据血缘关系需求分析、设计及实现；</t>
  </si>
  <si>
    <t>分析kettle在大字段更新时，如果clob字段在首列时会出现问题，调整顺序后暂时解决；分析解决食药监反馈现场启动报错原因（数据库归档日志满)；</t>
  </si>
  <si>
    <t>文件导入系统的禅道bug缺陷处理；</t>
  </si>
  <si>
    <t>sdi和slc集成问题处理；二中心实例启停操作报错问题排查解决；社保中心sdi版本部署升级；</t>
  </si>
  <si>
    <t>解决websocketdome单例化问题、并测试验证；</t>
  </si>
  <si>
    <t>管理中心为业务系统增加数据库连接是否已存在的接口；贵州现场hbase抽取异常分析排查（提供升级包、调整数据记录数）</t>
  </si>
  <si>
    <t>赶赴昆明公安厅项目现场</t>
  </si>
  <si>
    <t>佛山地税现场worker升级后启动不了问题协助；社保中心海南数据基础平台接口文档编辑调整；</t>
  </si>
  <si>
    <t>超：数据治理平台迭代1计划会议及开展；</t>
  </si>
  <si>
    <t>省厅现场解决福建交换平台升级后作业显示问题（mcenter升级）</t>
  </si>
  <si>
    <t>worker上增加维护状态（可定义是否打断所有运行的作业）；部门内部进行数据交换平台技术培训与交流</t>
  </si>
  <si>
    <t>社保中心海南数据基础平台接口文档补充及程序包提供指导；昆明现场sdi应用指导；海口社保数据基础平台搭建指导；uat环境实例启动不了问题排查；</t>
  </si>
  <si>
    <t>安：佛山地税项目实施向导功能开发；社保中心海南数据基础平台SDI测试环境搭建</t>
  </si>
  <si>
    <t>SDI-10迭代计划整理及计划会议；</t>
  </si>
  <si>
    <t>uat环境实例启动不了问题排查；uat环境缺陷修复；</t>
  </si>
  <si>
    <t>SDI第二期-V2.4.4-20200413-36迭代任务开发（sdi -kettle 改造到前端-接口类）；</t>
  </si>
  <si>
    <t>社保佛山、海口</t>
  </si>
  <si>
    <t>贵阳现场程序升级；作业有时停止后启动不了(worker原因，作业启动了后停止worker，停止作业需要worker反馈);</t>
  </si>
  <si>
    <t>SDI第二期-V2.4.4-20200413-36迭代任务开发（sdi -kettle 改造到前端-接口类）；公司的系统架构师任职资格考试；</t>
  </si>
  <si>
    <t>食药监数据交换平台作业执行慢问题排查；佛山地税SDI版本升级部署脚本整理；建安解决数据比对组件问题指导，启明佛山地税项目指导；</t>
  </si>
  <si>
    <t>ganger重启时会重新启动之前的任务（作业信息没有作业上次执行时间）；排查贵阳现场IMPALA数据源问题；</t>
  </si>
  <si>
    <t>sdi平台的mysql版本升级到5.7的产品部署和测试；SDI第二期-V2.4.4-20200512-37迭代计划和需求分解会议；</t>
  </si>
  <si>
    <t>排查解决sdi-manager容量水球负值的问题；食药监数据交换平台作业执行慢问题排查；宝怡反馈worker实例jvm信息无记录问题；</t>
  </si>
  <si>
    <t>禅城url问题解决；worker直接kill掉后资源容量未恢复；想想反馈设计器异常；</t>
  </si>
  <si>
    <t>贵州现场hbase抽取异常分析排查；分析作业执行时发生空转换异常、排查作业队列阻塞问题；</t>
  </si>
  <si>
    <t>公司的系统架构师任职资格重新考试；SDI第二期-V2.4.4-20200512-37迭代任务开发（以jpa实现jdbctemplate及postgre数据库）；</t>
  </si>
  <si>
    <t>佛山地税项目功能联调；佛山地税项目分支建立；数据比对模型测试验证；sdi-manager的脚本和接口联调；</t>
  </si>
  <si>
    <t>处理容量水球测试跟进；禅城url安全问题代码开发；</t>
  </si>
  <si>
    <t>排查作业队列阻塞问题并解决（作业状态反馈未更新worker繁忙状态）；解决现场反馈生成作业的数据库连接为空问题；</t>
  </si>
  <si>
    <t>zookeeper安全机制协调解决；金鹏数据比对模型调整；佛山地税mpp-neo4j模型抽取；</t>
  </si>
  <si>
    <t>处理容量水球的bug(终止作业时worker重复减少资源占用数);及贵阳现场作业排队问题（连接问题）</t>
  </si>
  <si>
    <t>对汕头地税的Sybase迁移业务需求进行分析确认；参加敏捷开发工具禅道的培训交流；</t>
  </si>
  <si>
    <t>佛山地税现场项目实施指导及SDI版本升级协助；</t>
  </si>
  <si>
    <t>处理容量水球的bug(终止作业时worker重复减少资源占用数);禅城url问题解决；</t>
  </si>
  <si>
    <t>陈辉梓的转正工作考核；分析现场反馈的运行作业时报转换不存在异常的问题；</t>
  </si>
  <si>
    <t>SDI第二期-V2.4.4-20200512-37迭代任务开发（以jpa实现jdbctemplate及postgre数据库）；</t>
  </si>
  <si>
    <t>禅城url问题解决(与邓杨沟通)；参加部门例会，参加中心团队活动；</t>
  </si>
  <si>
    <t>社保海南大数据基础平台SDI页面接口改造（第一批次接口实现）；</t>
  </si>
  <si>
    <t>辉：SDG迭代任务、问题处理</t>
  </si>
  <si>
    <t>SDI第二期-V2.4.4-20200512-37迭代任务开发（以jpa实现jdbctemplate及postgre数据库）；公司任职资格评审的固化行为资料手机和整理；</t>
  </si>
  <si>
    <t>昆明公安厅sdi平台旧版备份及新版本升级；对升级内容及基本功能进行验证及检查；</t>
  </si>
  <si>
    <t>社保海南大数据基础平台SDI页面接口改造联调；任务工时分配；佛山地税现场SDI MANAGER图标显示异常问题解决；</t>
  </si>
  <si>
    <t>超，右：SDG迭代任务开发；</t>
  </si>
  <si>
    <t>对贵阳现场对数据交换平台的异常情况进行内部评审确认；分析现场问题的异常原因并与现场人员沟通；</t>
  </si>
  <si>
    <t>公司任职资格评审的固化行为资料整理及上传提交；SDI第二期-V2.4.4-20200512-37迭代任务开发（sdi manager单机集成ganger实现）；</t>
  </si>
  <si>
    <t>昆明公安厅sdi平台与艾拓相关工程师进行沟通确认，针对问题进行分析及讨论，确认处理进度及责任；</t>
  </si>
  <si>
    <t>社保海南大数据基础平台SDI页面接口改造（第二批次接口实现）；佛山地税现场SDI MANAGER协助；金鹏sdi实例安装及操作失败问题排查解决；</t>
  </si>
  <si>
    <t>学：社保海南大数据基础平台SDI页面接口改造</t>
  </si>
  <si>
    <t>禅城url安全问题程序打包和升级文档编写；工时分配和填写；贵阳现场作业排队情况；食药监反馈大字段问题；</t>
  </si>
  <si>
    <t>优化worker,作业加载异常时，引擎仍记录作业日志，并优化作业日志查询兼容无作业名的查询；解决worker并发启动作业时，repository的连接信息混乱的问题；</t>
  </si>
  <si>
    <t>SDI第二期-V2.4.4-20200512-37迭代任务开发（sdi manager单机集成ganger实现）；</t>
  </si>
  <si>
    <t>艾拓反馈的kafka生产者报错的异常处理流程配置指导与沟通；艾拓反馈的昆明公安厅sdi平台有作业数据遗漏问题分析；</t>
  </si>
  <si>
    <t>社保海南大数据基础平台SDI页面接口改造（第二批次接口实现）；昆明SDI问题排查解决；禅城数据交换平台问题排查解决；</t>
  </si>
  <si>
    <t>安：社保海南大数据基础平台SDI项目跟进实施；</t>
  </si>
  <si>
    <t>贵阳现场作业排队情况问题排查、解决、测试；</t>
  </si>
  <si>
    <t>优化交换平台的配置项，对数据源url兼容service和sid两种配置；跟进贵阳现场数据交换平台并发启动异常的问题；</t>
  </si>
  <si>
    <t>艾拓反馈的昆明公安厅sdi平台有作业数据遗漏问题排查及沟通确认；艾拓反馈的kafka生产者报错的异常处理流程配置指导与沟通；</t>
  </si>
  <si>
    <t>社保海南大数据基础平台SDI页面接口改造联调；禅城数据交换平台问题排查解决（worker idle但作业排队）；SDI工作内容交接；SDI禅道bug整理与祥想沟通；</t>
  </si>
  <si>
    <t>贵阳现场作业排队情况问题解决测试，通知发布及跟进；解决容量水球-1问题；</t>
  </si>
  <si>
    <t>跟进分析贵阳现场数据交换平台并发启动作业造成的阻塞排队问题；对管理中心的历史日志查询功能进行升级解决；</t>
  </si>
  <si>
    <t>请假-奶奶过世</t>
  </si>
  <si>
    <t>贵阳现场作业排队情况问题升级跟进；sql效率问题；优化容量水球-1问题；</t>
  </si>
  <si>
    <t>分析贵阳现场数据交换平台并发启动作业造成的阻塞排队问题，确认问题原因为kettle引擎代码在作业执行完成并不会进行数据库连接清理工作，从而占用连接池不释放造成；</t>
  </si>
  <si>
    <t>SDI编辑器前端开发沟通讨论（接口情况，UI情况，具体功能的列表及范围描述）；SDI第二期-V2.4.4-20200512-37迭代任务开发（sdi manager单机集成ganger实现）；</t>
  </si>
  <si>
    <t>ietl连接重连问题；福建升级包准备；食药监反馈大字段问题；贵阳增量时间戳索引慢问题；</t>
  </si>
  <si>
    <t>修改worker端逻辑，当作业加载失败或执行完后释放数据库连接，进行测试并指导现场人员升级和验证；</t>
  </si>
  <si>
    <t>福建升级通知；ietl连接重连问题；新版bs设计器空白问题排查解决；</t>
  </si>
  <si>
    <t>贵阳现场作业仍存在阻塞，排查后确定连接池原因，对连接池代码进行回退；更新数据交换平台安装部署手册（worker和ganger安装方式调整，配置文件优化）</t>
  </si>
  <si>
    <t>SDI第二期-V2.4.4-20200512-37迭代任务开发（sdi manager单机集成ganger实现）；省实项目sdi平台安全测试bug修复；</t>
  </si>
  <si>
    <t>佛山禅城环境sdi平台问题排查与解决（作业状态不一致，数据库连接超时，作业异常不再调度）；</t>
  </si>
  <si>
    <t>佛山禅城数据交换平台问题回复、排查解决；禅城现场sdi作业排队问题处理；社保海南项目sdi连接数据库异常问题排查；</t>
  </si>
  <si>
    <t>更新数据交换平台安装部署手册，新版安装程序包整理与提交； 编写数据交换平台系统的学习人员任务计划；</t>
  </si>
  <si>
    <t>昆明公安厅sdi平台启动后作业无法停止问题排查解决；佛山禅城环境sdi平台问题排查与解决（模型接口生成作业后打开报错）；</t>
  </si>
  <si>
    <t>数广项目SDI需求沟通；社保海南项目sdi连接数据库异常处理；社保中心公司测试环境生成hbase作业失败问题排查；佛山禅城数据交换平台作业内存溢出不重启问题排查；</t>
  </si>
  <si>
    <t>同步贵阳现场程序到公司集成环境，对电政交换平台管理中心和bs设计器进行整合和升级，调试和修改作业历史日志查询页面；</t>
  </si>
  <si>
    <t>佛山禅城环境sdi平台问题排查与解决（模型接口生成作业后打开报错）；昆明公安厅sdi平台启动后作业无法停止问题排查解决；</t>
  </si>
  <si>
    <t>sdi前端离线环境图标显示问题解决；佛山禅城现场sdi作业日志打不开问题(作业内容太多)处理；佛山地税sdi主机状态获取失败问题协助排查；</t>
  </si>
  <si>
    <t>学：社保佛山禅城问题协助排查与解决；金鹏数据比对作业模型接口调整；</t>
  </si>
  <si>
    <t>ietl连接重连问题；食药监1对多转换设计；禅城worker数据库连接异常分析；</t>
  </si>
  <si>
    <t>福建电政需要升级数据交换平台，对升级包进行整理；食药监在广东民政部署数据交换平台，作业反馈报空指针异常，排查后优化代码；</t>
  </si>
  <si>
    <t>食药监数据管理平台作业抽取异常问题排查解决；社保海南项目sdi的ganger不能成为leading问题排查；佛山禅城现场sdi平台问题排查处理</t>
  </si>
  <si>
    <t>福建反馈作业运行显示一直异常问题解决（升级漏更新文件）；worker启动作业失败时异常日志处理；</t>
  </si>
  <si>
    <t>排查分析贵阳现场数据交换平台的日志重复问题；贵阳反馈数据库更新时处理失败，查看日志为数据类型有误；</t>
  </si>
  <si>
    <t>SDI第二期-V2.4.4-20200512-37迭代任务开发（sdi集群部署脚本编写-postgres部署）；</t>
  </si>
  <si>
    <t>福建反馈部分作业排队问题解决（ganger增加判断）；worker启动作业失败时异常日志处理；</t>
  </si>
  <si>
    <t>sdi组月度工作计划沟通会议；昆明公安厅sdi平台页面慢查询分析；航信产品sdi系统云上部署指导；佛山禅城环境sdi平台新需求MD5模型调整指导；</t>
  </si>
  <si>
    <t>SDI第二期-V2.4.4-20200512-37迭代任务开发（sdi集群部署脚本编写-redis部署）；公司任职资格评审的固化行为评审答辩；</t>
  </si>
  <si>
    <t>sdi组新迭代需求、计划、迭代会议资料整理；航信产品sdi系统云上部署指导；</t>
  </si>
  <si>
    <t>航信资本运作项目界面改造；小组月度工作总结及计划；金鹏数据比对模型调整接口调试；佛山禅城现场sdi平台问题排查处理；</t>
  </si>
  <si>
    <t>辉：SDG迭代任务分析、问题处理</t>
  </si>
  <si>
    <t>福建电政数据交换平台升级包测试打包，并发布给现场人员；和食药监联调作业运行异常处理机制功能；</t>
  </si>
  <si>
    <t>SDI第二期-V2.4.4-20200512-37迭代任务开发（sdi集群部署脚本编写-redis部署）；</t>
  </si>
  <si>
    <t>sdi组SDI第二期-V2.3.7-20190604-26迭代计划会议任务分解和讨论；</t>
  </si>
  <si>
    <t>旧版数据交换平台切换到新版SDI实施研究；简易模型生成作业出错问题排查解决；前后端分离开发沟通协调；部门月度例会；</t>
  </si>
  <si>
    <t>worker启动作业失败时异常日志未记录问题的排查分析及解决；</t>
  </si>
  <si>
    <t>分析贵阳现场反馈作业日志有异常，但作业状态为成功的问题；测试从oracle到solr的作业抽取；与禅城一门式项目人员确认机器配置要求及源数据生成；</t>
  </si>
  <si>
    <t>SDI第二期-V2.4.4-20200512-37迭代任务开发（ocutopus独立配置改造开发，sdi集群部署脚本编写-zookeeper部署）；</t>
  </si>
  <si>
    <t>sdi组SDI第二期-V2.3.7-20190604-26迭代昆明分支代码与主干合并；佛山禅城现场数据迁移协助；</t>
  </si>
  <si>
    <t>佛山现场作业到时未启动问题排查；社保海南项目sdi协助与沟通；sql2000兼容版本发布到sdi-worker集成测试；sdi-manager首页资源水球error问题处理；</t>
  </si>
  <si>
    <t>SDI-10迭代任务资料处理；贵阳现场作业执行慢问题排查；</t>
  </si>
  <si>
    <t>主持交换平台作业流程监控的设计评审会议；分析贵阳现场反馈作业日志有异常，但作业状态为成功的问题；</t>
  </si>
  <si>
    <t>oracle dblink抽取大字段数据解决方案；md5合并记录类型不一致问题处理；佛山自然人库数据库平台简易抽取模型问题排查解决；sqlserver2000-2008兼容测试；</t>
  </si>
  <si>
    <t>安：社保海南大数据基础平台SDI页面接口改造与问题协助；</t>
  </si>
  <si>
    <t>贵阳现场作业执行慢问题原因分析排查；SDI-10迭代演示会议、总结会议；</t>
  </si>
  <si>
    <t>作业历史日志列表页面优化（排版、查询条件等）；贵阳现场重启了单个数据库，ganger和worker无影响，但是管理中心需要重启，优化管理中心配置（RAC服务模式）</t>
  </si>
  <si>
    <t>md5合并记录类型不一致问题处理；佛山禅城版本升级包的整理与发布；佛山环境外网地址修改造成应用访问问题排查协助；</t>
  </si>
  <si>
    <t>部门月度例会</t>
  </si>
  <si>
    <t>worker维护状态切换造成资源容量计算错误问题解决；bs设计器重连问题解决；贵阳现场作业执行慢问题排查；sdi管理页面sql执行效率贵阳确认；</t>
  </si>
  <si>
    <t xml:space="preserve">修复作业历史日志列表页面bug； ganger调度作业字段增加下次执行时间，反馈状态增加执行worker； </t>
  </si>
  <si>
    <t>公司旅游</t>
  </si>
  <si>
    <t>SDI第二期-V2.4.4-20200512-37迭代任务开发（sdi集群部署脚本编写-manager部署,配置信息集成）；</t>
  </si>
  <si>
    <t>昆明公安厅sdi平台实例无法重启排查解决；佛山现场SDI平台作业运行卡住，日志也没更新问题排查；禅城现场SDI平台mysql访问不了问题排查；</t>
  </si>
  <si>
    <t>SDI第二期-V2.4.4-20200512-37迭代任务开发（sdi集群部署脚本编写-配置信息，系统测试）；</t>
  </si>
  <si>
    <t>佛山现场SDI平台接口获取作业最新日志获取慢问题排查解决；昆明公安厅sdi平台卡问题协助处理；</t>
  </si>
  <si>
    <t>佛山禅城版本升级包问题解决；收集sdi的新需求并整理禅道记录的问题；参加部门CDH培训；</t>
  </si>
  <si>
    <t>福建数据交换平台程序升级及问题解决指导；贵阳现场数据交换平台升级包验证和测试，并现场升级</t>
  </si>
  <si>
    <t>昆明公安厅sdi平台卡问题协助处理；sdi组SDI第二期-V2.3.7-20190604-26迭代任务开发；</t>
  </si>
  <si>
    <t>海南接口问题处理；社保佛山禅城版本问题解决；sdi的新迭代需求、计划、迭代资料整理；金鹏数据比对模型接口问题修改；</t>
  </si>
  <si>
    <t>贵阳现场作业执行慢问题排查；sdi管理页面sql执行效率贵阳确认；</t>
  </si>
  <si>
    <t>分析解决作业日志重复问题（加载失败时的批次号需要设置从sequence获取）；配合福建现场排查解决数据交换平台部署问题；</t>
  </si>
  <si>
    <t>佛山禅城sdi平台作业报错问题协助排查；sdi组SDI第二期-V2.3.7-20190604-26迭代任务开发；</t>
  </si>
  <si>
    <t xml:space="preserve">金鹏数据比对模型接口问题修改；佛山社保升级后有主键简化模型作业执行失败问题（重新生成后成功）；迭代sdi的需求分解和任务评审会议；
</t>
  </si>
  <si>
    <t>bs设计器重连问题解决（查询内加connect()）；新迭代需求整理；设计器锁表问题处理；mysql重连问题分析；</t>
  </si>
  <si>
    <t>解决ganger重启时立即启动所有作业问题；分析解决贵阳现场的数据库配置rac方式后bs设计器报错问题；</t>
  </si>
  <si>
    <t>sdi组SDI第二期-V2.3.7-20190604-26迭代任务开发；佛山禅城sdi平台转换步骤数据源缺失问题协助排查；</t>
  </si>
  <si>
    <t>食药监数据中心重启应用后，定时调度作业的启动时间发生混乱问题解决；佛山社保oracle驱动重复加载问题解决（去掉插件目录里的ojdbc6）；佛山社保excel导入模型改造；</t>
  </si>
  <si>
    <t>安：社保海南大数据基础平台SDI页面接口改造与问题协助；SDG第一期-V0.1.0-20180611-3迭代任务分解会议及任务开发；</t>
  </si>
  <si>
    <t>贵阳现场作业执行慢问题排查；mysql重连机制卡住问题分析解决；</t>
  </si>
  <si>
    <t>社保软件中心沟通数据交换平台相关问题答疑；处理生产管理平台的缺陷；</t>
  </si>
  <si>
    <t>海南社保现场测试环境搭建指导及问题解决；sdi-manager bs设计器重连问题；短信、邮件告警接口说明；研究作业输入输出数据库的抓取功能；</t>
  </si>
  <si>
    <t>SDG第一期-V0.1.0-20180611-3迭代需求、计划、迭代资料整理；</t>
  </si>
  <si>
    <t>新迭代需求讨论整理与确认；ganger代码尝试svn多分支同步；</t>
  </si>
  <si>
    <t>在ganger的反馈状态接口增加执行worker问题； 指导何裔东部署开发环境，并分析作业管理页面按作业名查询时分页的异常问题；</t>
  </si>
  <si>
    <t>新环境sdi平台持续集成工具jenkins配置协助；SDI第二期-V2.4.4-20200512-37迭代任务开发（sdi集群部署脚本编写-配置信息优化，系统测试）；</t>
  </si>
  <si>
    <t>新迭代需求讨论整理与确认；</t>
  </si>
  <si>
    <t>分析作业状态异常问题，画作业状态反馈的时序图</t>
  </si>
  <si>
    <t>SDI第二期-V2.4.4-20200512-37迭代任务开发（sdi集群部署脚本编写-配置信息优化，系统测试）；迭代演示总结会议；</t>
  </si>
  <si>
    <t>sdi组SDI第二期-V2.3.7-20190604-26迭代任务开发；禅城sdi平台md5模板新增需求开发任务；</t>
  </si>
  <si>
    <t>上午请假；SDI第二期-V2.4.4-20200512-37迭代任务开发（sdi集群部署脚本编写-配置信息优化，系统测试）；</t>
  </si>
  <si>
    <t>sdi组SDI第二期-V2.3.7-20190604-26迭代任务问题整理与指导；禅城sdi平台mysql文件占用过大问题协助排查；海口社保sdi平台安全测试过滤器指导；</t>
  </si>
  <si>
    <t>开发ganger knob表的升级处理程序，兼容历史数据的处理；参与数据交换平台性能测试工作安排会议；</t>
  </si>
  <si>
    <t>SDI第二期-V2.4.4-20200512-37迭代任务开发（sdi集群部署脚本编写-配置信息优化，系统测试）；</t>
  </si>
  <si>
    <t>sdi组SDI第二期-V2.3.7-20190604-26迭代任务问题沟通讨论会议；禅城sdi平台md5模板调整处理；sdi git发布版本无法安装主机问题处理；</t>
  </si>
  <si>
    <t>sdi-manager bs设计器重连问题；研究作业输入输出数据库的抓取功能；社保佛山excel数据导入作业模型接口改造；佛山海南社保SDI平台作业导出指导及问题处理；</t>
  </si>
  <si>
    <t>请假一天</t>
  </si>
  <si>
    <t>准备升级程序包，并进行版本升级测试；协调现场人员的升级安排，发布升级通知； 指导何裔东解决作业管理页面作业名查询时分页组件混乱问题；</t>
  </si>
  <si>
    <t>sdi git发布版本实例启动问题处理；禅城sdi平台md5模板新增需求开发任务；</t>
  </si>
  <si>
    <t>佛山地税sdi安全测试问题分析、研究及处理；社保佛山现场SDI问题协调、沟通；佛山海南社保SDI平台系统安装指导与问题解决；</t>
  </si>
  <si>
    <t>分派工时；迭代计划会议；迭代测试任务分解；BS设计器缺陷优先级确认沟通；食药监作业启动失败问题（worker启动时端口被占用）；</t>
  </si>
  <si>
    <t>开发升级ganger的作业处理程序（升级前备份要启动的作业，升级后重启ganger时再启动作业）； 版本包升级验证及测试； 大数据组件测试（创建新的索引结构后，solr组件选择索引结构后报：java.lang.RuntimeException: schema 中不存在OPERATE_TYPE）；贵阳现场升级</t>
  </si>
  <si>
    <t>sdi平台运维人员调整https访问问题处理；月度工作工时填报；禅城sdi平台md5模板新增需求开发任务；</t>
  </si>
  <si>
    <t>worker实例详情页面功能开发；</t>
  </si>
  <si>
    <t>排查作业日志仍然重复的问题（用kitchen执行的作业通过最大值+1的方式生成批次号）； 测试大数据组件（ORACLE-HBASE-SOLR)</t>
  </si>
  <si>
    <t>佛山地税sdi安全测试问题讨论、研究及处理；社保佛山现场SDI问题协调、沟通；</t>
  </si>
  <si>
    <t>协助排查字段转换插件空指针问题；解决食药监反馈zookeeper日志文件过多超大问题；</t>
  </si>
  <si>
    <t>产品组sdi产品平台特性收集整理；sdi git发布版本ganger启动后无法告警问题及数据库测试报错问题处理；</t>
  </si>
  <si>
    <t>佛山地税sdi安全测试文档处理；社保佛山现场SDI问题协调、沟通；</t>
  </si>
  <si>
    <t>协调字典转换的空指针问题，增加是否覆盖字段的选项；编写批量配置调度的用户故事；分析贵阳现场仍有日志重复的问题（有机器用未更新的cs kettle运行作业）；协助食药监排查作业状态显示问题（系统配置项错误，造成作业状态无法反馈更新）</t>
  </si>
  <si>
    <t>sdi组SDI第二期-V2.3.7-20190604-26迭代任务沟通确认；sdi manager的webservice生成简单作业接口问题解决；</t>
  </si>
  <si>
    <t>佛山地税sdi安全测试问题解决及文档处理；社保佛山现场SDI问题协调、沟通（数据抽取慢）；</t>
  </si>
  <si>
    <t>worker使用连接池管理资源库连接；解决worker内存信息获取问题，且内存超阀值后无法恢复；</t>
  </si>
  <si>
    <t>sdi组SDI第二期-V2.3.7-20190604-26迭代演示会议资料整理及会议举行；</t>
  </si>
  <si>
    <t>佛山地税sdi安全测试缺陷处理解决及文档处理；社保佛山现场SDI问题处理与沟通（记录合并时类型不一致，测试环境管理中心访问不了）；作业输入输出数据库的抓取功能实现；</t>
  </si>
  <si>
    <t>worker实例详情页面功能测试；BS设计器缺陷确认沟通；sdi-manager重启后ganger后台rpc调用一直报错，不能自动恢复问题排查分析；</t>
  </si>
  <si>
    <t>食药监平台升级框架后，作业状态无法反馈问题；组织大数据插件测试工作安排会议；贵阳现场调用接口启动作业时作业启动了，但页面的作业状态未更新；</t>
  </si>
  <si>
    <t>sdi平台中对zk增加安全机制进行优化改造；佛山禅城sdi平台作业设置变量执行报错问题排查；</t>
  </si>
  <si>
    <t>SDI第二期-V2.3.0-20180614-19迭代代码集成整理，走读；佛山地税sdi安全测试缺陷处理解决沟通；</t>
  </si>
  <si>
    <t>sdi-manager重启后ganger后台rpc调用一直报错，不能自动恢复问题排查分析；</t>
  </si>
  <si>
    <t>大数据插件升级包准备，及集成环境升级； 参与福建12306数据清洗方案的讨论，及编写解决方案报告；解决贵阳现场sqlServer升级问题。</t>
  </si>
  <si>
    <t>SDI第二期-V2.4.4-20200628迭代计划和需求任务分解会议；sdi集群部署脚本编写缺陷处理（redis安装启动无法访问问题）；</t>
  </si>
  <si>
    <t>佛山社保sdi平台excel导入模型改造及接口文档整理；佛山地税sdi平台升级指导安排；sdi-neo4j组件升级打包；</t>
  </si>
  <si>
    <t>worker实例详情页面功能测试；sdi-manager重启后ganger后台rpc调用一直报错，不能自动恢复问题排查分析；</t>
  </si>
  <si>
    <t>现场部分运行中作业挂着问题，确认问题为昨晚重启worker未停止作业；bs设计器的大数据插件测试，版本同步，升级包准备及集成环境验证；</t>
  </si>
  <si>
    <t>sdi集群部署脚本编写缺陷处理（redis安装启动无法访问问题）；SDI第二期-V2.4.4-20200628迭代任务开发（bs设计器改造优化）；</t>
  </si>
  <si>
    <t>sdi集群部署脚本编写缺陷处理（zk安装后启动报错问题）；SDI第二期-V2.4.4-20200628迭代任务开发（bs设计器改造优化）；</t>
  </si>
  <si>
    <t>昆明公安厅现场sdi平台汇聚库到kafka数据未抽取问题排查，sdi manager内存溢出问题协助分析；</t>
  </si>
  <si>
    <t>sdi集群部署脚本编写缺陷处理（redis安装流程优化改造）；SDI第二期-V2.4.4-20200628迭代任务开发（bs设计器改造优化）；</t>
  </si>
  <si>
    <t>sdi平台中对zk增加安全机制进行优化改造包依赖问题；佛山禅城sdi平台作业变量执行报错问题分析；</t>
  </si>
  <si>
    <t>佛山地税sdi平台升级协调处理；佛山社保sdi平台excel导入模型接口改造联调；小组月度工作总结及计划；</t>
  </si>
  <si>
    <t>贵阳现场mysql升级； 数据交换平台故障恢复分析讨论； 禅城一门式项目人员交换平台搭建过程中的问题沟通解决；</t>
  </si>
  <si>
    <t>sdi集群部署脚本编写缺陷处理（redis安装报错等问题）；SDI第二期-V2.4.4-20200628迭代任务开发（bs设计器改造优化）；</t>
  </si>
  <si>
    <t>昆明公安厅现场sdi平台作业排队数告警问题排查解决；sdi main产品代码初次发布包整理与合并，走读程序代码、程序包及脚本；</t>
  </si>
  <si>
    <t xml:space="preserve">金鹏数据比对模型接口问题解决；sdi-neo4j组件升级打包；参加人工智能大数据培训；参加部门月度会议；航信做审计环境sdi问题解决；
</t>
  </si>
  <si>
    <t>食药监数据交换平台作业启动后不执行问题排查解决（worker启动时端口被占用）；</t>
  </si>
  <si>
    <t>禅城一门式项目人员交换平台搭建过程中的问题沟通解决；贵阳现场mysql升级后作业停止问题处理；</t>
  </si>
  <si>
    <t>超哥离职工作开发、测试任务处理交接；佛山禅城sdi平台作业执行结果状态不一致问题排查分析；</t>
  </si>
  <si>
    <t>参加人工智能大数据培训；海南社保sdi接口开发沟通；社保佛山禅城excel导入模型升级问题解决；佛山地税sdi升级准备；</t>
  </si>
  <si>
    <t>当对job对行完修改后，在作业列表中其信息被初始化；</t>
  </si>
  <si>
    <t>管理中心访问简化（通过重定向跳转）；福建12306数据清洗方案分析整理；</t>
  </si>
  <si>
    <t>佛山禅城sdi平台作业执行结果状态不一致问题解决，及内部关联作业调度信息不同步问题排查；</t>
  </si>
  <si>
    <t>社保佛山禅城excel导入模型升级问题解决；佛山地税sdi安全测试问题升级解决；参加中心团队活动；</t>
  </si>
  <si>
    <t>数据库自动备份；代码走读；数统局部署；</t>
  </si>
  <si>
    <t>sdi-manager重启后ganger后台rpc调用一直报错，不能自动恢复问题排查分析；当对job对行完修改后，在作业列表中其信息被初始化；</t>
  </si>
  <si>
    <t>福建12306数据清洗方案整理编写；BS设计器大数据组件测试；</t>
  </si>
  <si>
    <t>社保禅城区数统局部署交换平台指导；社保禅城环境ganger实例问题解决；bs设计器和sdi-manager用户同步问题处理；昆明sdi平台database字段问题排查；</t>
  </si>
  <si>
    <t>解决sdi-manager重启后，资源水球数据出错问题；解决worker实例详情返回按钮控制台报错问题；</t>
  </si>
  <si>
    <t>福建12306数据清洗方案整理编写；BS设计器大数据组件测试；贵阳现场作业阻塞问题（clob作业撑爆worker内存）；</t>
  </si>
  <si>
    <t>sdi集群一键部署脚本缺陷处理及安装重新打包发布；SDI第二期-V2.4.4-20200628迭代任务开发（bs设计器改造优化）；</t>
  </si>
  <si>
    <t>解决BS设计器偶尔打开作业、转换失败的问题；</t>
  </si>
  <si>
    <t>sdi集群一键部署脚本安装重新打包发布；SDI第二期-V2.4.4-20200628迭代任务开发（bs设计器改造优化）；</t>
  </si>
  <si>
    <t>佛山禅城sdi平台内部关联作业调度信息不同步问题协调与沟通；sdi新迭代版本问题确认与沟通，并协助修复处理迭代缺陷；</t>
  </si>
  <si>
    <t>sdi集群一键部署脚本的sdi manager部署流程优化，license部署流程处理；SDI第二期-V2.4.4-20200628迭代任务开发（bs设计器改造优化）；</t>
  </si>
  <si>
    <t>sdi新迭代版本问题确认与沟通，并协助修复处理迭代缺陷（双tab登录websocket推送连接close）；佛山禅城sdi平台内部关联作业调度信息不同步问题协调与沟通；</t>
  </si>
  <si>
    <t>database streamresult研究；SDI第二期-V2.3.0-20180614-19迭代任务检查；昆明现场sdi作业排队问题排查；参加SDG迭代演示会议；</t>
  </si>
  <si>
    <t>福建12306数据清洗方案分析整理；大数据插件测试发布；</t>
  </si>
  <si>
    <t>sdi集群一键部署脚本的sdi manager部署流程优化；SDI第二期-V2.4.4-20200628迭代任务开发（bs设计器改造优化）；</t>
  </si>
  <si>
    <t>佛山禅城sdi平台内部关联作业调度信息不同步问题协调与沟通；sdi迭代版本缺陷修复处理与版本整理；</t>
  </si>
  <si>
    <t>SDI第二期-V2.3.0-20180614-19迭代代码集成整理，走读；佛山禅城交换平台无作业但workerbusy、插入和删除重叠、MD5类型不一致问题解决；</t>
  </si>
  <si>
    <t>解决BS设计器偶尔打开作业、转换失败的问题；worker实例管理页面链接添加；电政组件WEBSERVICE服务访问失败协调；</t>
  </si>
  <si>
    <t>SDI第二期-V2.5.0-20200712-808迭代计划会议；sdi集群一键部署脚本的sdi manager部署流程优化；</t>
  </si>
  <si>
    <t>sdi组SDI第二期-V2.3.8-20190704-27迭代计划整理与会议召开；佛山禅城sdi平台作业循环报错不结束问题排查与分析；佛山禅城sdi平台模板生成作业并发调用异常问题分析与排查；</t>
  </si>
  <si>
    <t>佛山禅城交换平台目标数据ID为空、excel导入作业ftp路径带空格问题、日志记录不对问题排查解决；佛山地税安全审计测试报告问题处理；昆明现场sdi平台的kafka测试；</t>
  </si>
  <si>
    <t>解决cs版上createUser为当前用户，modifyUser为其它用户（admin）的作业查询不到问题；分支的ganger合并到主干；解决worker运行一段时间后报busy恢复，造成作业排队不执行问题；</t>
  </si>
  <si>
    <t>批量调度配置；大数据插件测试发布；食药监修改作业模板，异常日志记录作业批次号；贵阳sysdate和getdate问题；</t>
  </si>
  <si>
    <t>SDI迭代版本整理及分支确认；省实大数据项目组数据集成接入沟通会议及接入规范文档整理编写；</t>
  </si>
  <si>
    <t>SDI第二期-V2.3.0-20180614-19迭代问题总结更新wiki；刘兆恩的试用期工作内容、转正条件安排；佛山地税安全审计问题解决；昆明现场sdi平台的kafka集成测试；佛山禅城交换平台问题排查解决；</t>
  </si>
  <si>
    <t>解决worker运行一段时间后运行中作业数为负的问题；解决ganger收到schedJob中没有的作业，返回1999后worker一直不能处理的问题；</t>
  </si>
  <si>
    <t>kettle组件清单；食药监兼容达梦部署；</t>
  </si>
  <si>
    <t>广州房管大数据平台项目sdi版本升级部署指导与问题解决；</t>
  </si>
  <si>
    <t>佛山地税安全审计角色权限问题、HTTPS实现解决；昆明现场sdi平台的kafka集成测试；佛山禅城交换平台日期时间数据格式问题排查解决；</t>
  </si>
  <si>
    <t>整理迭代资料；迭代演示会议</t>
  </si>
  <si>
    <t>食药监兼容达梦部署，LOGIN字段处理；出入境公司集成测试环境部署指导；批量调度配置；清理缺陷</t>
  </si>
  <si>
    <t>下午休年假；SDI第二期-V2.5.0-20200712-808迭代，表输入组件开发任务；</t>
  </si>
  <si>
    <t>迭代演示和总结会议；部门活动；</t>
  </si>
  <si>
    <t>SDI第二期-V2.5.0-20200712-808迭代，表输入组件开发任务；</t>
  </si>
  <si>
    <t>省实大数据项目组数据集成接入沟通会议及接入规范文档整理编写；佛山禅城sdi平台作业执行日志不更新卡住问题分析与排查；</t>
  </si>
  <si>
    <t>sdi集群一键部署脚本的缺陷处理与指导；SDI第二期-V2.5.0-20200712-808迭代，表输入组件开发任务；</t>
  </si>
  <si>
    <t>佛山禅城sdi平台现场模板生成作业并发调用报错问题排查，作业执行日志和结果不一致问题排查（日志异常时job的执行结果未更新）；</t>
  </si>
  <si>
    <t>佛山地税安全审计升级包问题解决；佛山禅城交换平台作业串联设计指导；昆明现场sdi平台的kafka集成测试；</t>
  </si>
  <si>
    <t>政法事业部项目现场安装sdi集群技术支持；SDI第二期-V2.5.0-20200712-808迭代，表输入组件开发任务；</t>
  </si>
  <si>
    <t>sdi git发布版本打包子节点迁移处理；佛山禅城sdi平台现场模板生成作业并发调用报错问题排查（并发调用时kettle资源库冲突）；</t>
  </si>
  <si>
    <t>佛山地税安全审计现场升级实施协助；昆明现场sdi平台ftp问题解决；佛山禅城交换平台作业串联设计讨论</t>
  </si>
  <si>
    <t>整理迭代资料；worker详情页面概述内容优化；区块链培训</t>
  </si>
  <si>
    <t>编写需求文档；排查解决食药监兼容达梦部署问题；与第三软件中心沟通培训交换平台；</t>
  </si>
  <si>
    <t>请病假；</t>
  </si>
  <si>
    <t>佛山禅城sdi平台现场模板生成作业并发调用报错问题解决；sdi git发布版本打包子节点迁移处理；</t>
  </si>
  <si>
    <t xml:space="preserve">解决worker详情页面解决运行时长、状态指示灯的问题缺陷；
</t>
  </si>
  <si>
    <t>编写设计文档；排查解决食药监兼容达梦部署问题；</t>
  </si>
  <si>
    <t>社保中心广州大数据平台作业、转换数据增量迁移方案设计、实现指导；佛山禅城sdi平台现场模板生成作业并发调用报错问题升级发布及验证；</t>
  </si>
  <si>
    <t>Y</t>
  </si>
  <si>
    <t>赶赴云南昆明公安厅现场支持及现场问题解决；</t>
  </si>
  <si>
    <t>mysql定时器设计:统计作业启动、完成、失败数；</t>
  </si>
  <si>
    <t>排查解决食药监兼容达梦部署问题；指导佛山一门式设计增量模型；贵阳升级；</t>
  </si>
  <si>
    <t>云南昆明公安厅现场支持、与艾拓反馈问题进行沟通协调；SDI升级打包并进行现场升级及验证；</t>
  </si>
  <si>
    <t>mysql定时器设计:统计作业启动、完成、失败数；新迭代功能需求的讨论确认；</t>
  </si>
  <si>
    <t>解决顾磊反馈kettle启动出错问题；贵阳大数据组件的hostname问题；佛山一门式增量模型指导；交换平台现场字段插件问题；</t>
  </si>
  <si>
    <t>新迭代需求讨论整理与确认；与军哥讨论实例jvm信息收集机制；SDI-SPRINT12迭代计划需求评审会议；</t>
  </si>
  <si>
    <t>SDI第二期-V2.5.0-20200712-808迭代，表输入组件开发任务；南方电网软件项目售前沟通洽谈；</t>
  </si>
  <si>
    <t>省实</t>
  </si>
  <si>
    <t>佛山禅城sdi平台现场模板生成作业并发调用报错问题升级发布及验证；sdi git版本代码整理与合并；</t>
  </si>
  <si>
    <t>上半年工作绩效面谈；sdi-webui框架g6工具培训；</t>
  </si>
  <si>
    <t>佛山市自然人审批信息库系统作业时间冲突问题排查分析（时间不同步）；sdi组SDI第二期-V2.3.8-20190704-27迭代缺陷处理；</t>
  </si>
  <si>
    <t>云南昆明公安厅现场支持(sdi designer客户端升级包发布及编写升级指导文件，与现场艾拓人员沟通现场问题并解决)</t>
  </si>
  <si>
    <t>辉，超，右：SDG迭代需求任务开发、环境处理及问题解决；</t>
  </si>
  <si>
    <t>福建反馈gbase数据库转换启动报错问题排查；食药监数据交换平台兼容达梦时bigdecimal转换异常处理；</t>
  </si>
  <si>
    <t>sdi-webui 表输出组件功能开发，列表展示集成select选项功能；sdi集群一键部署脚本工具优化及缺陷处理；</t>
  </si>
  <si>
    <t xml:space="preserve">sdi组SDI第二期-V2.3.8-20190704-27迭代缺陷处理；佛山市禅城区一门式自然人库建设现场作业数据抽取有时报错问题排查解决（无数据时临时表未清空造成主键冲突）；
</t>
  </si>
  <si>
    <t>云南昆明公安厅现场支持(sdi作业卡死问题分析排查、与腾讯tbase联调测试问题)；</t>
  </si>
  <si>
    <t>学：云南昆明公安厅现场问题排查与解决；金鹏数据比对作业模型接口调整；</t>
  </si>
  <si>
    <t>编写上半年工作总结报告；参加部门年中总结会议；</t>
  </si>
  <si>
    <t>管理中心瘦身重构； 福建kettle数据资源库保存gbase的数据源后再打开为空问题；</t>
  </si>
  <si>
    <t>sdi-webui 表输出组件功能开发，标签弹出窗口事件问题处理，双击打开编辑界面；sdi集群一键部署脚本工具优化及缺陷处理；</t>
  </si>
  <si>
    <t>佛山市自然人审批信息库系统作业时间冲突问题解决指导，作业执行完但状态还是运行中问题排查分析（执行结束时作业重新生成）；</t>
  </si>
  <si>
    <t>佛山社保数据交换平台心模板接口开发及接口文档编写；艾拓反馈cs kettle反应慢问题排查分析解析；</t>
  </si>
  <si>
    <t>安：佛山社保数据交换平台心模型设计改造，问题排查与解决；</t>
  </si>
  <si>
    <t>解决本地开发环境重新编译后程序报错</t>
  </si>
  <si>
    <t>kettle源码bug解决(批量数据插入代码有误)；食药监交换平台达梦新库触发器问题解决；</t>
  </si>
  <si>
    <t>食药监数据交换平台作业排队不执行问题解决；佛山市自然人审批信息库系统作业执行完但状态还是运行中问题排查分析，作业时间冲突问题解决指导（执行结束时作业重新生成）；</t>
  </si>
  <si>
    <t>云南昆明公安厅现场支持(sdi作业卡死问题分析排查、升级验证测试）；sdi现场环境协调沟通会；</t>
  </si>
  <si>
    <t>mysql库中worker获取批次号的方式优化；</t>
  </si>
  <si>
    <t>食药监交换平台新环境部署jar包加载顺序不一致问题、作业不调度、数据初始化问题解决；贵阳现场交换平台作业排队问题排查解决（网络断开、内存溢出）；</t>
  </si>
  <si>
    <t>云南昆明公安厅现场支持(作业日志无记录问题，修改连接和用户后作业执行失败问题，sdi作业卡死问题分析排查）；</t>
  </si>
  <si>
    <t>测试mysql库中worker获取批次号的方式修改；年中绩效面谈工作总结整理；食药监现场问题排查（sqlserver驱动包重复造成作业执行报错）；同步ganger的分支代码到主干</t>
  </si>
  <si>
    <t>出入境软件中心交换平台使用指导及问题解答；</t>
  </si>
  <si>
    <t>实例详情页面启动作业失败问题解决（启动参数需要实例id）；优化实例详情页面操作完成时刷新页面；排查端口占用时日志高频打印问题；</t>
  </si>
  <si>
    <t>食药监交换平台新环境部署jar包加载顺序不一致问题、作业不调度、数据初始化问题解决</t>
  </si>
  <si>
    <t>sdi-webui 表输出组件功能开发，列表组件的删除、新增功能实现；sdi集群一键部署脚本工具优化及缺陷处理；</t>
  </si>
  <si>
    <t>产品</t>
  </si>
  <si>
    <t>sdi组SDI第二期-V2.3.8-20190704-27迭代缺陷处理（kvm重启后sdi manager打包报错，数据库脚步执行出错）；</t>
  </si>
  <si>
    <t>组织召开sdi组SDI第二期-V2.3.8-20190704-27迭代演示总结会议及资料整理；kettle的表输入组件（增量表输入）的日志打印优化任务；</t>
  </si>
  <si>
    <t>贵阳现场交换平台重启问题协调处理；2018上半年个人绩效面谈表；现场问题跟进处理；</t>
  </si>
  <si>
    <t>福建定制模板生成作业接口开发；</t>
  </si>
  <si>
    <t>sdi-webui 表输出组件功能开发，input和select选项的集成组件功能；sdi集群一键部署脚本工具优化及缺陷处理；</t>
  </si>
  <si>
    <t>云南昆明公安厅现场支持问题确认沟通；新需求的讨论沟通；sdi集群时间服务器的配置与管理；</t>
  </si>
  <si>
    <t>设计历史作业执行情况统计定时器；rpc频繁打印失败日志问题处理；</t>
  </si>
  <si>
    <t>食药监交换平台新环境部署指导及问题解答；</t>
  </si>
  <si>
    <t>sdi-webui 表输出组件功能开发，input和select选项联动的事件处理；sdi集群一键部署脚本工具优化及缺陷处理；</t>
  </si>
  <si>
    <t>2019年上半年工作总结及绩效考核表汇总；佛山市自然人审批信息库系统作业一直不结束问题分析排查；省实大数据项目组数据抽取模型接口沟通确认；</t>
  </si>
  <si>
    <t>云南公安厅现场返回广州</t>
  </si>
  <si>
    <t>第二个sdi-manager启动时，端口被前一个占用报错，但是tomcat不退出问题；</t>
  </si>
  <si>
    <t>贵阳现场反馈oracle驱动类seal、作业停止不了问题排查；</t>
  </si>
  <si>
    <t>昆明公安厅现场sdi平台图片数据抽取指导；广州社保大数据项目sdi安装实例出错问题排查解决；2019上半年度工作绩效面谈；佛山市自然人审批信息库系统作业一直不结束问题解决沟通；</t>
  </si>
  <si>
    <t>云南昆明公安厅现场问题支持（mysql ibdata占用空间满）；sdi资源数据库定时备份研究；电政中心新版sdi接口联调测试；昆明分支代码同步提交；</t>
  </si>
  <si>
    <t>食药监作业执行时，数据库归档日志大增问题解决（全量抽取重复更新时间戳表）；报价估算清单；华三大数据交流；</t>
  </si>
  <si>
    <t>贵阳现场问题解决oracle驱动类seal、作业停止不了问题；BS设计器HBASE组件java.lang.LinkageError问题解决；hbase抽取数据测试及问题排查</t>
  </si>
  <si>
    <t>金鹏数据比对模型接口问题解决；sdi资源数据库定时备份研究；电政中心新版sdi接口联调测试；</t>
  </si>
  <si>
    <t>hbase抽取数据测试及问题排查；福建定制模板生成作业接口开发；</t>
  </si>
  <si>
    <t>sdi-webui 表输出组件功能开发，组件属性值获取异步调用；sdi集群一键部署脚本工具优化及缺陷处理；</t>
  </si>
  <si>
    <t>设计历史作业执行情况统计定时器；</t>
  </si>
  <si>
    <t>SDI第二期-V2.3.9-20190806-28迭代计划整理和需求收集；昆明公安厅现场sdi平台json文件解析报错问题排查解决；</t>
  </si>
  <si>
    <t>sdi-webui 表输出组件功能开发，获取连接的select加载与事件处理；sdi集群一键部署脚本工具优化及缺陷处理；</t>
  </si>
  <si>
    <t>广州社保大数据项目演示打包问题处理；省实大数据项目SDI平台安全测试问题分析整理；</t>
  </si>
  <si>
    <t>sdi 阻塞组件不能阻塞数据问题研究；sdi资源数据库定时备份研究；电政中心新版sdi接口联调测试；昆明分支代码同步提交；</t>
  </si>
  <si>
    <t>开发worker单程序多实例部署实现；研究测试BS设计器的kafka组件；</t>
  </si>
  <si>
    <t>sdi-webui 表输出组件功能开发，edittable组件的禁用操作处理；sdi集群一键部署脚本工具优化及缺陷处理；</t>
  </si>
  <si>
    <t>sdi组SDI第二期-V2.3.9-20190806-28迭代计划会议；sdi组SDI第二期-V2.3.9-20190806-28迭代任务开发（安全测试跨域安全问题）；</t>
  </si>
  <si>
    <t>参加部门月度例会；sdi资源数据库定时备份研究；金鹏数据比对模型接口问题解决；电政中心新版sdi接口联调测试；昆明现场sdi cas路由改造升级发布；</t>
  </si>
  <si>
    <t>整理迭代工时、需求任务资料；主持迭代演示会议；</t>
  </si>
  <si>
    <t>食药监交换平台出现连接问题排查与解决； 开发worker单程序多实例部署实现； 排查贵阳数据交换平台日志显示问题；</t>
  </si>
  <si>
    <t>昆明公安厅现场sdi平台json文件解析报错问题排查解决；sdi组SDI第二期-V2.3.9-20190806-28迭代任务开发（安全测试跨域安全问题）；</t>
  </si>
  <si>
    <t>电政中心新版sdi接口联调测试；佛山地税现场验收环境bs设计器登录出错问题排查及现场解决；</t>
  </si>
  <si>
    <t>整理迭代工时、总结资料；主持迭代总结会议；</t>
  </si>
  <si>
    <t>分析解决worker内存溢出时造成集群故障； 食药监交换平台ganger连接超时问题排查；</t>
  </si>
  <si>
    <t>sdi组SDI第二期-V2.3.9-20190806-28迭代任务开发（安全测试跨域安全问题）；昆明公安厅现场sdi平台图片数据抽取指导；</t>
  </si>
  <si>
    <t>佛山地税现场验收环境bs设计器登录出错问题排查；金鹏数据比对模型接口问题解决；昆明现场作业暂停调度问题排查解决；</t>
  </si>
  <si>
    <t>ganger的分支和主干代码合并；sdi-manager和webui工程合并测试；分支版本管理流程讨论；</t>
  </si>
  <si>
    <t>开发测试交换平台转换内数据占用内存大小管理程序(ROWSET代码)；</t>
  </si>
  <si>
    <t>食药监反馈抽数据时写入目标库报主键冲突问题（插入更新步骤的查询条件有2个字段）；测试主干反馈ganger一直preparing（数据库日志爆，sql执行不完）；</t>
  </si>
  <si>
    <t>开发测试worker端内存溢出时重启功能脚本；</t>
  </si>
  <si>
    <t>sdi-webui 表输出组件功能开发，表输出组件数据读取与保存事件开发；</t>
  </si>
  <si>
    <t>worker的启动时间不一致问题排查；新迭代的需求整理；</t>
  </si>
  <si>
    <t>SDI第二期-V2.5.0-20200712-808 sdi-webui只读界面 websocket集成开发；</t>
  </si>
  <si>
    <t>SDI第二期-V2.3.9-20190806-28迭代任务开发（数据源修改保存时增加日志记录）；参加实施组的佛山禅城大数据项目sdi平台大版本升级总结会议及问题修复；</t>
  </si>
  <si>
    <t>佛山禅城大数据项目sdi平台问题处理；SDI第二期-V2.3.9-20190806-28迭代任务开发（数据源新增，删除，页面保存时增加日志记录）</t>
  </si>
  <si>
    <t>sdi跨标签共享用户登录；昆明现场作业暂停调度问题升级解决；电政中心新版sdi接口联调测试；航信代码审核版本整理；</t>
  </si>
  <si>
    <t>开发测试交换平台转换内数据占用内存大小管理程序(ROWSET代码)；开发测试worker端内存溢出时重启功能脚本；</t>
  </si>
  <si>
    <t>SDI第二期-V2.5.0-20200712-808 sdi-webui只读界面 连线动态及抽取速度展示；</t>
  </si>
  <si>
    <t>航信代码审核版本整理；SDI的新迭代需求及计划整理；电政中心新版sdi接口联调测试；昆明现场版本与主干版本进行同步更新；</t>
  </si>
  <si>
    <t>新迭代SDI-SPRINT13需求整理与评审；</t>
  </si>
  <si>
    <t>SDI第二期-V2.3.9-20190806-28迭代任务开发（数据源新增，删除，页面保存时增加日志记录）；佛山禅城大数据项目sdi平台问题处理；</t>
  </si>
  <si>
    <t>社保禅城日志记录数据量不完整问题处理及代码同步；金鹏数据比对模型身份证验证步骤接口重新定义；电政中心新版sdi接口联调测试；</t>
  </si>
  <si>
    <t>整理新迭代SDI-SPRINT13需求，主持SDI-SPRINT13迭代计划会议；</t>
  </si>
  <si>
    <t>开发测试交换平台转换内数据占用内存大小管理程序(OUTPUT代码)；</t>
  </si>
  <si>
    <t>佛山禅城大数据项目sdi平台问题处理；SDI第二期-V2.3.9-20190806-28迭代任务开发（数据源新增，删除，页面保存时增加日志记录）；</t>
  </si>
  <si>
    <t>金鹏数据比对模型身份证验证步骤接口重新定义；电政中心新版sdi接口联调测试；SDI新迭代20需求沟通讨论；SLC产品可研性沟通会议；</t>
  </si>
  <si>
    <t>基于MYSQL的dblink研究和实现，解决每小时作业执行情况的数据不连续问题；</t>
  </si>
  <si>
    <t>电政中心新版sdi接口PG数据库联调测试；羊城工匠杯人工智能比赛OCR资料整理；</t>
  </si>
  <si>
    <t>基于MYSQL的dblink研究和实现，解决每小时作业执行情况的数据不连续问题；odbc实现机制研究与样例测试；</t>
  </si>
  <si>
    <t>羊城工匠杯人工智能比赛OCR资料文档编写</t>
  </si>
  <si>
    <t>worker实例详情操作功能的状态验证及图标横坐标时间格式统一处理；sdi的数据库脚本整理；sqlserver实例连接访问问题；</t>
  </si>
  <si>
    <t>sdi集群一键部署脚本工具优化（manager的war包解压需要unzip工具）；</t>
  </si>
  <si>
    <t>SDI第二期-V2.3.9-20190806-28迭代任务开发（增量表输入组件功能优化）；</t>
  </si>
  <si>
    <t>解决worker作业状态未更新提交问题；对JOB类开发注入channelid的接口，初始化时定义channelid，worker重启时通过channelid修正作业日志；优化定制模板生成作业接口，提取参数处理流程，简化代码开发；与社保中心沟通佛山项目问题；</t>
  </si>
  <si>
    <t>sdi集群一键部署脚本工具优化（支持一键卸载，避免配置文件填写错误后的问题）；</t>
  </si>
  <si>
    <t>羊城工匠杯人工智能比赛OCR资料文档整理；SDI组月度任务工时分配及填写；电政中心新版sdi接口PG数据库联调测试；昆明公安厅大数据平台集成kafka指导协助；</t>
  </si>
  <si>
    <t>省厅解决贵阳电政的sqlserver sysdate()问题；贵阳现场数据交换平台升级，worker简化部署，ganger调度优化等；</t>
  </si>
  <si>
    <t>省实大数据项目sdi完整安装包整理与测试环境安装支持；佛山禅城大数据项目sdi平台机器切换ip后重启问题指导；SDI第二期-V2.3.9-20190806-28迭代任务bug修复；</t>
  </si>
  <si>
    <t>SDI的新迭代需求及计划整理；昆明公安厅大数据平台集成kafka指导协助；电政中心新版sdi接口业务库无增量数据联调测试；</t>
  </si>
  <si>
    <t>sdi的数据库脚本整理；</t>
  </si>
  <si>
    <t>贵阳现场问题排查与解决；排查贵阳现场作业执行中不动的问题，通过修改作业的日志清理设置调整；</t>
  </si>
  <si>
    <t>sdi集群一键部署脚本工具优化（安装增加防火墙端口开放策略，一周工作内容展示与讨论）；</t>
  </si>
  <si>
    <t>SDI第二期-V2.3.9-20190806-28迭代任务bug修复；佛山禅城大数据项目sdi模型接口生成作业报错问题排查；</t>
  </si>
  <si>
    <t>昆明公安厅大数据平台集成kafka指导协助；电政中心新版sdi接口业务库全量数据联调测试；昆明公安厅大数据平台现场问题排查解决；</t>
  </si>
  <si>
    <t>sdi的数据库脚本整理（装mysql,关键字，字符编码，外键建表、数据、删除）；</t>
  </si>
  <si>
    <t>省厅排查贵阳现场数据交换平台问题（作业执行中不动、历史页面查询慢等）；</t>
  </si>
  <si>
    <t>佛山禅城大数据项目sdi模型接口生成作业报错问题排查；SDI第二期-V2.3.9-20190806-28迭代任务bug修复；</t>
  </si>
  <si>
    <t>昆明公安厅大数据平台现场问题排查解决；电政中心新版sdi接口业务库全量数据联调测试；</t>
  </si>
  <si>
    <t>数据库数据删除后恢复研究；部门活动（打保龄球）</t>
  </si>
  <si>
    <t>4-22:30</t>
  </si>
  <si>
    <t>社保禅城现场程序升级后作业无法生成问题排查；昆明公安厅大数据平台现场问题排查解决；</t>
  </si>
  <si>
    <t>sdi的数据库脚本整理（装mysql,关键字，字符编码，外键建表、数据、删除）；sqlservice数据库连接问题解决</t>
  </si>
  <si>
    <t>3.5-22:00</t>
  </si>
  <si>
    <t>贵阳现场模板生成作业造成锁表问题；</t>
  </si>
  <si>
    <t>sdi集群一键部署脚本工具优化（安装时防火墙策略开放，及卸载时开放的防火墙策略清理）；</t>
  </si>
  <si>
    <t>昆明公安厅大数据平台现场集群宕机排查解决；</t>
  </si>
  <si>
    <t>sdi的数据库脚本测试；bs设计器用户权限管理集成研究；sdi-manager前端bug修复；</t>
  </si>
  <si>
    <t>8.5-20:30</t>
  </si>
  <si>
    <t>佛山禅城作业转换无法执行报错问题解决（lock timeout,t_trans_log表主键无自增）；</t>
  </si>
  <si>
    <t>昆明公安厅大数据平台现场作业配置数据修改问题排查；</t>
  </si>
  <si>
    <t>6-18:00</t>
  </si>
  <si>
    <t>SDI第二期-V2.3.9-20190806-28迭代任务bug修复；佛山禅城作业日志正常但状态异常，重新配置作业超时时间；</t>
  </si>
  <si>
    <t>昆明公安厅大数据平台现场SDI问题讨论；昆明公安厅大数据平台现场集群宕机排查解决；</t>
  </si>
  <si>
    <t>食药监反馈生成作业失败问题排查（资源库用户目录问题）； 福建交换平台增加worker后连接池异常；</t>
  </si>
  <si>
    <t>佛山禅城作业状态异常，但作业日志显示成功问题排查分析；SDI第二期-V2.3.9-20190806-28迭代任务bug修复；</t>
  </si>
  <si>
    <t>里程碑需求整理收集；sdi-sprint13迭代任务资料整理；解决worker重启后作业数错误问题；</t>
  </si>
  <si>
    <t>深圳事业部项目SDI环境安装部署技术支持；sdi集群一键部署脚本工具优化（安装时防火墙策略开放，及卸载时开放的防火墙策略清理）；</t>
  </si>
  <si>
    <t>SDI第二期-V2.3.9-20190806-28迭代任务bug修复；佛山禅城作业状态异常，但作业日志显示成功问题分析解决；</t>
  </si>
  <si>
    <t>昆明公安厅大数据平台现场集群问题排查解决（作业数据库链接异常，协助一中心实施搭建现场环境）；</t>
  </si>
  <si>
    <t>公司体检；sdi-sprint13迭代演示会议；贵阳现场停电后平台启动问题协助指导（zookeeper问题）；</t>
  </si>
  <si>
    <t>SDI第二期-V2.3.9-20190806-28迭代整理及bug修复；佛山禅城作业状态异常，但作业日志显示成功问题分析解决；</t>
  </si>
  <si>
    <t>昆明公安厅大数据平台现场集群问题排查解决（插入更新主键对于postgreSql 获取不到表，oracle到postgreSql 时间类型报错数据无法插入 二进制时间类型错误）；</t>
  </si>
  <si>
    <t>sdi-sprint13迭代任务资料整理；sdi-sprint13迭代总结会议；上月工作内容总结、下月工作计划；贵阳现场巡查指导；</t>
  </si>
  <si>
    <t>昆明公安厅大数据平台现场集群问题排查解决（oracle到postgreSql 时间类型报错 数据无法插入二进制时间类型错误,历史大文件通过文本输入测试)；</t>
  </si>
  <si>
    <t>作业执行历史记录缺失问题（定时器未恢复）；sdi-sprint13迭代任务资料整理；里程碑需求整理；</t>
  </si>
  <si>
    <t>sdg平台获取作业日志的接口对接与指导；sdi集群一键部署脚本工具优化（安装时防火墙策略开放，及卸载时开放的防火墙策略清理）；</t>
  </si>
  <si>
    <t>昆明公安厅大数据平台现场集群问题排查解决（历史大文件通过文本输入测试，pg入库时间戳错误）；</t>
  </si>
  <si>
    <t>ganger代码更新阅读；导入脚本编写；脚本使用说明；</t>
  </si>
  <si>
    <t>昆明公安厅大数据项目数据缺失问题sdi平台排查及代码优化；sdi产品组月底工作计划及迭代整理；</t>
  </si>
  <si>
    <t>昆明公安厅大数据平台现场集群问题排查解决（pg批量加载控件读取链接有问题）；</t>
  </si>
  <si>
    <t>sdi产品组月底工作计划及迭代整理；SDI第二期-V2.4.0-20190902-29工作计划及迭代需求任务整理；</t>
  </si>
  <si>
    <t>昆明公安厅大数据平台现场集群问题排查解决（pg数据库表输出步骤，若使用错误步骤则数据执行报错，tdbs kafka组件集成测试）；</t>
  </si>
  <si>
    <t>SDI第二期-V2.4.0-20190902-29工作计划及迭代需求任务整理；昆明公安厅大数据项目数据缺失问题sdi平台排查；</t>
  </si>
  <si>
    <t>昆明公安厅大数据平台现场集群问题排查解决（pg数据库表输出步骤，若使用错误步骤则数据执行报错，pg库读取缓慢问题改造尝试）；</t>
  </si>
  <si>
    <t>里程碑需求讨论；sqlserver访问失败；sql脚本用户初始化问题；</t>
  </si>
  <si>
    <t>昆明公安厅大数据项目数据缺失问题sdi平台排查及代码优化；SDI第二期-V2.4.0-20190902-29工作计划及迭代需求任务整理；</t>
  </si>
  <si>
    <t>昆明公安厅大数据平台现场集群问题排查解决（现场数据抽取模型设计，多步骤多次查询速度慢问题分析研究）；</t>
  </si>
  <si>
    <t>整理需求；研究调度特色配置机制；105mysql环境安装脚本及文档编写；</t>
  </si>
  <si>
    <t>昆明公安厅大数据项目sdi平台增量表输入组件结束时间查询条件和偏移量逻辑代码优化；sdi json输入组件增加异常是否跳过逻辑优化；</t>
  </si>
  <si>
    <t>昆明公安厅大数据平台现场集群问题排查解决（解决表输入步骤异常问题，集成tdbs kafka生产者组件）；</t>
  </si>
  <si>
    <t>有人缺勤</t>
  </si>
  <si>
    <t>实例配置的初始化数据处理；mysql环境安装脚本及文档编写；同名数据源问题；图表横坐标默认刻度问题；</t>
  </si>
  <si>
    <t>昆明公安厅大数据平台现场集群问题排查解决（pg数据库抽取关联数据研究测试，现场SDI manager版本升级）；</t>
  </si>
  <si>
    <t>mysql脚本安装权限问题；knob_updatemodel问题；mysql增量识别机制研究；</t>
  </si>
  <si>
    <t>昆明公安厅大数据平台现场集群问题排查解决（现场SDI manager版本升级验证及巡检）；</t>
  </si>
  <si>
    <t>kettle资源库数据初始化问题；bs设计器版本打包，部署验证及规范文档编写；</t>
  </si>
  <si>
    <t>1、增量数据没法识别；
2、表结构的变动识别后，脚本实现还是需要人工编写；
3、自增序列问题</t>
  </si>
  <si>
    <t>佛山禅城社保大数据平台md5作业字段无分号处理；佛山禅城社保大数据平台作业不执行问题处理；昆明公安厅大数据项目sdi平台访问不了现场支持；</t>
  </si>
  <si>
    <t>昆明tbds hive中关联表的查询测试</t>
  </si>
  <si>
    <t>sdi json输入组件增加异常是否跳过逻辑改造；SDI第二期-V2.4.0-20190902-29迭代计划会议；</t>
  </si>
  <si>
    <t>昆明tbds hive关联表查询测试情况报告整理编写；现场用户登录问题处理；艾拓反馈作业调度停止问题排查（配置的调度时间是1天一次）；标准库查询速度慢影响作业执行非常慢问题；</t>
  </si>
  <si>
    <t>昆明公安厅大数据项目sdi平台升级包整理与发布；佛山禅城社保大数据平台md5数据重复问题排查；</t>
  </si>
  <si>
    <t>食药监数据交换平台作业模型日志配置修改；sql文件导出组件连接名错位问题；tbase批量加载编辑映射出错问题排查（数据库权限问题）；</t>
  </si>
  <si>
    <t>markdown文档编写研究；bs设计器版本打包，部署验证及规范文档编写；佛山数据交换共享平台沟通会议汇报沟通；</t>
  </si>
  <si>
    <t>昆明公安厅大数据项目sdi平台无法访问问题分析排查；佛山禅城社保大数据平台md5数据重复问题排查处理；</t>
  </si>
  <si>
    <t>sdi manager页面查询速度慢问题；日志1000行后不显示问题优化；字典转换组件大小写不一致造成转换出内容为空问题；</t>
  </si>
  <si>
    <t>mysql增量识别、规范整理，脚本编写和操作文档编写；机器学习入门学习；uat环境作业执行过程中数据量为空问题排查；</t>
  </si>
  <si>
    <t>昆明公安厅大数据项目sdi平台页面卡死问题及作业超时技术支持；</t>
  </si>
  <si>
    <t>worker作业执行代码优化（不能重复执行，连接获取异常按失败进行处理）；rocketmq组件集成测试报错问题排查；</t>
  </si>
  <si>
    <t>作业执行过程中输入输出数据量不更新问题排查；kettle原版本保存时用改动后版本打开报错，用改动后版本打开其它作业保存后就又可打开；</t>
  </si>
  <si>
    <t>云南昆明公安厅现场检查及返回广州；</t>
  </si>
  <si>
    <t>初始化数据用户不能查看存储过程问题处理；sdi manager的数据源查看和修改操作异常；版本增量sql记录；食药监增量模板时间戳机制修改确认；</t>
  </si>
  <si>
    <t>解决作业运行情况不统计手工停止的问题；迭代14的计划评审会议；无数据时echarts统一显示；</t>
  </si>
  <si>
    <t>昆明公安厅大数据项目sdi平台问题协调与沟通；SDI第二期-V2.4.0-20190902-29工作计划及迭代需求任务整理；昆明公安厅大数据项目数据缺失问题sdi平台排查；</t>
  </si>
  <si>
    <t>社保海南大数据中心项目sdi平台验收技术支持（作业状态不一致，bs设计器打开作业报错，bs设计器乱码）；</t>
  </si>
  <si>
    <t>昆明出差报销整理，出差内容总结，现场服务书整理，现场cas问题修复，作业执行报连接为空问题排查解决（连接重名）；</t>
  </si>
  <si>
    <t>赶赴昆明公安厅大数据项目现场；昆明公安厅大数据项目sdi平台问题协调与沟通；</t>
  </si>
  <si>
    <t>wifi作业时间超长，造成作业日志超长，binlog增加快磁盘爆满后mysql宕机；代码同步问题；作业执行报连接为空（连接重名）；</t>
  </si>
  <si>
    <t>cdh安装任务处理（依赖包问题）；maria db数据库组件研究（青云访问yum失败）；</t>
  </si>
  <si>
    <t>邮件</t>
  </si>
  <si>
    <t>昆明现场sdi问题沟通，集群检查和维护，作业重复执行问题跟进；ftp文件下载和解析报错问题排查；</t>
  </si>
  <si>
    <t>maria db数据库安装，表输入表输出组件验证；echart图表无数据时展示问题分析；</t>
  </si>
  <si>
    <t>昆明现场sdi集群检查和维护；禅城数据交换平台作业日志不显示问题排查；sdi 调度执行器程序重构设计；</t>
  </si>
  <si>
    <t>昆明现场问题协助处理；</t>
  </si>
  <si>
    <t xml:space="preserve">容量水球数据推送的后台websocket报错问题分析；指导食药监模板改造任务；
</t>
  </si>
  <si>
    <t>食药监nginx转发后webservice出现问题排查解决； 模板修改（插入更新步骤的查询主键用循环，更新字段增加是否更新标志)；贵阳现场cs版输入库为mysql时，后续步骤获取字段出错(驱动版本不兼容);</t>
  </si>
  <si>
    <t>车辆特征数据作业分开启动调度执行及存量历史数据抽取；sdi manager应用快捷启动脚本编写；</t>
  </si>
  <si>
    <t>昆明现场sdi集群检查和维护；sdi 调度执行器程序重构设计；SDI组月度任务工时分配及填写；</t>
  </si>
  <si>
    <t>佛山禅城现场问题协助处理；</t>
  </si>
  <si>
    <t>月度任务工时分配及填写；echart图表无数据时展示问题修改（可重复加水印，多维度验证是否有数据）；食药监作业流程问题排查（_cn才是翻译后的字段）；</t>
  </si>
  <si>
    <t>sdi manager前台页面卡死，旅店住宿信息等作业超时问题跟进与排查；轨迹监控作业及平台跟踪巡检；</t>
  </si>
  <si>
    <t>sdi禅道bug处理解决；</t>
  </si>
  <si>
    <t>作业详情页面运行情况和历史情况不一致问题解决；kettle中mariaDB数据库类型添加；mariadb的10.2.8版本安装及kettle测试；</t>
  </si>
  <si>
    <t>bs设计器webui工程集成工具打包环境处理（node大版本升级）；sdi集群一键部署脚本问题解决（安装后机器重启，服务不起来）；</t>
  </si>
  <si>
    <t>轨迹监控作业及平台跟踪巡检；旅店住宿信息等作业超时及平台调度问题跟进与排查；艾拓反馈数据抽取后pg库中文乱码问题排查与确认；</t>
  </si>
  <si>
    <t>sdi一键化检测工具</t>
  </si>
  <si>
    <t>现场旅店住宿信息等作业超时问题现场分析报告编写与沟通；VID视频检索信息数据抽取沟通与讨论；</t>
  </si>
  <si>
    <t>车辆特征数据作业的存量历史数据抽取跟进；涉案人员信息插入更新作业大字段数据抽取造成内存溢出问题排查与沟通；</t>
  </si>
  <si>
    <t>昆明现场sdi集群检查和维护；精简版sdi程序改造（方案讨论确定、kettle代码修改）；sdi 调度执行器程序重构设计；佛山地税项目验收总结会议；</t>
  </si>
  <si>
    <t>mariadb库（5.5,10.2.8）测试插入/更新、更新、删除、数据同步、执行sql脚本、调用存储过程步骤；CS Kettle 统计-转换步骤信息规则整理；mysql库中worker启动作业异常时日志记录存在问题；</t>
  </si>
  <si>
    <t>作业调度丢失问题ganger代码分析排查； sdi manager内存溢出问题跟进排查；现场反馈铁路核查的数据超时，对平台进行排查无问题，确认源端问题；</t>
  </si>
  <si>
    <t>精简版sdi程序改造（kettle代码修改，数据库脚本修改处理）；SDI昆明现场js日期处理、rocketMQ组件调试；</t>
  </si>
  <si>
    <t>worker在maintance状态下停止后再启动，实例状态一直不更新为维护状态问题排查；食药监日志大量打印问题排查解决；东莞医政项目平台集成沟通及整理；</t>
  </si>
  <si>
    <t>sdi新里程碑及新迭代的需求计划讨论；精简版sdi程序改造（版本验证及测试指导）；</t>
  </si>
  <si>
    <t>东莞医政交换平台安装包、脚本整理；食药监日志频繁打印问题处理；sqlserver存储过程问题排查；</t>
  </si>
  <si>
    <t>sdi集群一键部署脚本问题解决（安装后机器重启，服务不起来）；bs设计器webui工程集成工具打包环境处理（node大版本升级）；</t>
  </si>
  <si>
    <t>sdi manager程序内存监控及跟踪；昨天下午巡检时发现有个worker无响应，需要分析确认；</t>
  </si>
  <si>
    <t>精简版sdi程序改造（sdi-manager程序修改、数据库脚本修改）；昆明现场启动作业报错问题排查及解决；删除作业和转换时，同步删除对应执行日志，解决新增作业有时关联之前删除作业的日志问题。</t>
  </si>
  <si>
    <t>食药监数据交换平台培训;worker没有lost，直接join时，容量水球需要识别增减；部门月度会议内容整理；</t>
  </si>
  <si>
    <t>bs设计器webui工程集成工具打包环境处理（node大版本升级）；宏霖开发bs设计器webui集成后工程问题处理；</t>
  </si>
  <si>
    <t>有kafka生产者发送数据异常，有zookeeper连接断开异常，有加载转换数据异常，但无法确认当时worker进程卡住的原因；</t>
  </si>
  <si>
    <t>sqlserver存储过程问题解决；extenal显示正常，但是job_log表error&gt;1；</t>
  </si>
  <si>
    <t>bs设计器webui工程集成工具打包环境处理（前端打包处理及脚本执行）；宏霖开发bs设计器webui集成后工程问题处理；</t>
  </si>
  <si>
    <t>extenal显示正常，但是job_log表error&gt;1（执行完的作业未从zk中清理掉，worker重启时把之前作业状态改为失败）；食药监日志频繁打印问题处理；mysql资源库启动作业失败时写日志出错（重连资源库失败）；</t>
  </si>
  <si>
    <t>bs设计器webui工程集成工具打包环境处理（前端打包处理及脚本执行）</t>
  </si>
  <si>
    <t>kettle登录取不到数据源连接问题排查（用户本来就没有建连接）；昆明现场sdi集群检查和维护；</t>
  </si>
  <si>
    <t>现场sdi manager程序内存分析；昆明sdi现场维护工作总结；</t>
  </si>
  <si>
    <t>SDI平台培训PPT编写；精简版sdi程序改造（版本验证及测试指导）；参加研发组内部月度研发计划会议；昆明sdi实例不能停止问题排查；</t>
  </si>
  <si>
    <t>SDI第二期-V2.4.0-20190902-29迭代资料整理；</t>
  </si>
  <si>
    <t>SDI那应用场景的典型项目案例编写；贵阳数据交换平台zookeeper启动失败（磁盘满）问题排查处理；佛山禅城数据交换平台作业日志异常问题排查；</t>
  </si>
  <si>
    <t>mysql资源库启动作业失败时写日志出错（重连资源库失败）；bs设计器包过大</t>
  </si>
  <si>
    <t>社保广州大数据平台作业执行问题排查分析；昆明公安厅作业数据补录不进去问题排查分析；</t>
  </si>
  <si>
    <t>昆明现场客户端操作报错问题解决（艾拓的客户端未加hive批量加载插件）；云南公安厅数据交换平台zk启动失败问题（zk快照文件格式问题）排查；昆明现场sdi文件解压出错问题处理；</t>
  </si>
  <si>
    <t>mysql资源库启动作业失败时写日志出错（重连资源库失败）；kettle的kafka消费者组件取出数据是16进制的问题解决；</t>
  </si>
  <si>
    <t>食药监交换平台密码修改后不能登录问题解决（食药监和交换平台重复对密码加密），用户未登录不能修改密码问题；禅城交换平台现场问题排查（内存溢出）；</t>
  </si>
  <si>
    <t>下</t>
  </si>
  <si>
    <t>昆明公安厅sdi平台升级版本包、内容、流程整理，及版本代码分支整理。</t>
  </si>
  <si>
    <t>昆明现场worker程序升级（增加退出worker线程的异常日志打印），客户端执行作业报错（hive批量加载插件未升级）；昆明现场sdi designer执行作业转换卡住问题排查；电政作业模型调试作业无日志（日志配置还是老kettle）问题排查解决；</t>
  </si>
  <si>
    <t>昆明现场sdi designer执行作业无数据入库问题排查；参加中心羽毛球比赛活动；</t>
  </si>
  <si>
    <t>kettle的kafka消费者组件取出数据是16进制的问题分析；switch/case组件转换启动时报类型转换错误；食药监交换平台设计协助指导（立即执行、uuid回写）；</t>
  </si>
  <si>
    <t>bs设计器webui工程集成工具打包环境处理；sdi集群一键部署脚本问题解决及功能优化；</t>
  </si>
  <si>
    <t>switch/case组件流程执行（case字段类型不能为none）；kettle postgresql的存储过程执行报错问题（postgresql存储过程对返回值是integer与其它不一致）；</t>
  </si>
  <si>
    <t>社保广州大数据平台作业执行完数据才入库问题、长时间执行后报错问题排查；社保中心广州大数据平台项目问题协调沟通；</t>
  </si>
  <si>
    <t>社保广州大数据平台作业执行完数据才入库问题、长时间执行后报错问题解决与沟通；sdi平台程序代码分支整理打包；</t>
  </si>
  <si>
    <t>昆明现场sdi designer执行作业无数据入库问题排查及解决（时间数据小于tbase字段分区最小值）；sdi新里程碑需求讨论、新迭代计划与需求评审会议；</t>
  </si>
  <si>
    <t>电政中心新版sdi作业模板接口联调测试（异常处理连线重复）；昆明现场作业抽取js报错问题（trim函数使用），数据丢失问题（pg批量加载组件异常处理）排查解决；</t>
  </si>
  <si>
    <t>postgresql的存储过程获取增加命名空间的过滤；mysql库中to_char函数不能用问题；</t>
  </si>
  <si>
    <t>昆明现场作业js转换日期格式处理、数据丢失问题协助升级解决；电政中心新版sdi作业模板接口联调测试；下午请假</t>
  </si>
  <si>
    <t>sdi数据库安装增加自建库的数据安装步骤；webservice服务查询没有输出问题解决；</t>
  </si>
  <si>
    <t>worker kettle资源库连接的重连机制改造；昆明公安厅大数据项目sdi平台rabbitmq、数据库集群技术研究；</t>
  </si>
  <si>
    <t>昆明现场作业数据丢失问题协助升级解决；电政中心新版sdi作业模板接口联调测试；</t>
  </si>
  <si>
    <t>sdi集群安装手册阅读及建议修改；kettle保存对象时如果点击取消按钮造成作业丢失问题排查与解决；</t>
  </si>
  <si>
    <t>SDI组月度工时分配，；昆明公安厅大数据项目sdi平台现场问题分析；</t>
  </si>
  <si>
    <t>昆明现场作业数据丢失问题协助升级解决；迭代任务开发：解决作业在kettle中删除后，仍继续调度问题；</t>
  </si>
  <si>
    <t>sdi数据库增量脚本处理规则；sdi manager图表时间轴区间默认值统一调整；lincese集成到sdi讨论；广州房管项目数据交换平台安装部署文档和程序包；</t>
  </si>
  <si>
    <t>sdi集群一键部署脚本问题解决（octopus启动报acl错误，数据库hostname为空问题排查解决）；bs设计器webui工程集成工具打包环境处理；</t>
  </si>
  <si>
    <t>昆明现场HIVE作业报错问题解决升级；参加羊城工匠杯人工智能大赛颁奖会；</t>
  </si>
  <si>
    <t>月度任务工时分配及填写；福建kettle访问oracle12c出错问题解决；license集成研究</t>
  </si>
  <si>
    <t>sdi的资源库mysql版本升级到8环境准备，安装；昆明公安厅sdi作业数据类型格式问题排查分析；</t>
  </si>
  <si>
    <t>sdi集群一键部署脚本问题解决（worker启动出错，manager日志获取错误问题排查解决）；bs设计器webui的功能开发（作业执行速度功能）；</t>
  </si>
  <si>
    <t>昆明公安厅sdi作业数据类型格式问题排查分析；sdi的资源库mysql版本升级到8环境问题重现与验证；</t>
  </si>
  <si>
    <t>昆明现场作业pg批量加载步骤报错问题（pgbulkloader代码），作业执行无日志记录问题（数据库锁表超时）解决；禅城增量作业模型调整；</t>
  </si>
  <si>
    <t>领导外部演示sdi平台的环境问题（主机实例启动失败等）解决；</t>
  </si>
  <si>
    <t>昆明现场sdi webservice接口调用作业问题排查分析；sdi的资源库mysql版本升级到8环境问题重现与验证；</t>
  </si>
  <si>
    <t>昆明现场作业日志导出协助，增量表输入条件字段查询协助；珠海iab项目的sdi程序包、文档、svn记录整理；cs kettle删除作业包主键冲突问题排查（删除触发器关联表唯一自增）；</t>
  </si>
  <si>
    <t>license工程集成研究实验(代码阅读、生成签名、签名验证程序测试)；</t>
  </si>
  <si>
    <t>领导外部演示sdi平台的环境问题（主机实例启动失败等）分析排查；</t>
  </si>
  <si>
    <t>昆明公安厅sdi平台rabbitMQ现场需求程序开发讨论与验证；中心办公室整体搬迁；</t>
  </si>
  <si>
    <t>珠海iab现场sdi应用系统安装及问题排查解决；</t>
  </si>
  <si>
    <t>SPRINT-14迭代资料整理；新迭代SDI-SPRINT15需求整理与评审；license工程集成研究实验(代码阅读、生成签名、签名验证程序测试)；</t>
  </si>
  <si>
    <t>sdi产品11月份里程碑工作任务需求讨论、分析与确认；参加中心年度羽毛球活动；</t>
  </si>
  <si>
    <t>珠海iab现场sdi应用系统安装问题整理；昆明现场sdi访问mysql数据库卡问题(日志频繁更新)排查解决；禅城数据交换平台模板修改及异常日志问题排查；</t>
  </si>
  <si>
    <t>SPRINT-15新迭代计划评审会议；SPRINT-15迭代资料整理；</t>
  </si>
  <si>
    <t>昆明现场sdi访问mysql数据库卡问题(最近状态查询请求频繁)排查解决；禅城数据交换平台模板修改及异常日志问题排查；迭代资料整理及任务协调；</t>
  </si>
  <si>
    <t>kettle对gbase数据库的支持开发与测试；</t>
  </si>
  <si>
    <t>bs设计器webui工程功能分析讨论会议；黄埔环境sdi平台安装包整理和发布；</t>
  </si>
  <si>
    <t>帮宝怡搭建kettle打包工具；sdi-manager增加gbase数据源支持；</t>
  </si>
  <si>
    <t>晓妮反馈作业执行报错问题排查分析；bs设计器webui的获取流字段接口从worker上迁移到sdi manager；</t>
  </si>
  <si>
    <t>sftp+doc文档数据解析功能流程讨论与预研究；社保广州大数据平台作业转换为空、报错空间释放问题沟通协调；</t>
  </si>
  <si>
    <t>bs设计器webui的表输出步骤功能改造协调；晓燚反馈主机安装过程报错问题排查分析；</t>
  </si>
  <si>
    <t>sftp+doc文档数据解析功能kettle组件流程研究，省实大数据项目doc文档增量识别，下载功能程序开发；</t>
  </si>
  <si>
    <t>昆明现场sdi访问mysql数据库卡问题(作业重复执行，访问mysql卡)排查；禅城数据交换平台模板修改及异常日志问题排查；</t>
  </si>
  <si>
    <t>黄埔环境sdi平台bs设计器作业操作报错排查分析；sdi平台数据库从mysql迁移到postgresql后定时任务功能研究；</t>
  </si>
  <si>
    <t>广州大数据平台sdi作业调度问题处理与优化；springboot项目数据库mysql集群化自动切换功能研究与验证(昆明公安厅sdi平台mysql集群负载均衡)；</t>
  </si>
  <si>
    <t>昆明现场sdi增量表输入重复数据问题排查；禅城数据交换平台模板修改及异常日志问题排查；</t>
  </si>
  <si>
    <t>月度工作总结与计划；部门月度工作总结和计划会议；广东地税oracle12c连接驱动问题（驱动版本、jdk版本）；食药监bs设计器作业流程设计指导；</t>
  </si>
  <si>
    <t>bs设计器webui的表输出步骤功能改造协调；测试环境的octopus工具接口无法调用问题排查分析；</t>
  </si>
  <si>
    <t>springboot项目数据库mysql集群化自动切换功能研究与验证；省实大数据项目doc文档增量识别，下载功能程序开发；</t>
  </si>
  <si>
    <t>禅城数据交换平台模板修改沟通协调；sdi迭代SDI第二期-V2.3.2-20181012-21的代码整理、bug修复；</t>
  </si>
  <si>
    <t>worker执行postgresql作业失败（驱动问题）问题处理；广东地税oracle12c连接驱动问题（驱动版本、jdk版本）；</t>
  </si>
  <si>
    <t>SDI第二期-V2.4.1-20191014-30迭代计划整理与需求讨论；省实大数据项目doc文档sftp下载、增量识别程序设计；</t>
  </si>
  <si>
    <t>昆明现场SDI平台问题评估与沟通；sdi迭代SDI第二期-V2.3.2-20181012-21的代码整理、bug修复；</t>
  </si>
  <si>
    <t>食药监存储过程执行超过2小时，作业失败问题分析；GBASE的删除主键执行出错问题排查分析；</t>
  </si>
  <si>
    <t>sdi迭代SDI第二期-V2.3.2-20181012-21的代码整理、bug修复；sdi组10月份工作总结及11月份工作计划；低版本（43）chrome无法打开sdi manager问题解决；</t>
  </si>
  <si>
    <t>GBASE的删除组件执行出错问题排查分析（GBASE技术人员建议用其它方式删除）；广东地税oracle12c连接驱动问题（驱动版本、jdk版本）；</t>
  </si>
  <si>
    <t>sdi平台数据库从mysql迁移到postgresql后定时任务功能整理；食药监数据交换平台迁移后实例异常问题排查；</t>
  </si>
  <si>
    <t>sdi-manager数据源管理gbase组件报错（sdi-manager依赖包版本问题造成kettle-engineer版本错误）；</t>
  </si>
  <si>
    <t>sdi平台数据库postgresql的定时调度功能方法收集与分析；</t>
  </si>
  <si>
    <t>SDI第二期-V2.4.1-20191014-30迭代需求和任务计划会议；食药监数据交换平台作业执行报错问题排查分析；</t>
  </si>
  <si>
    <t>sdi平台数据库postgresql的定时调度插件实现（cron插件安装及报错解决）；</t>
  </si>
  <si>
    <t>sdi mysql资源库集群故障转移实现机制研究分析、任务分解处理；广州大数据平台sdi manager访问失败问题处理；</t>
  </si>
  <si>
    <t>sdi迭代SDI第二期-V2.3.2-20181012-21的代码整理、bug修复；禅城数据交换平台现场问题排查解决；</t>
  </si>
  <si>
    <t>sdi平台数据库postgresql的定时调度实现（插件安装后不执行问题无法解决，改用系统crontab执行）；</t>
  </si>
  <si>
    <t>昆明公安厅项目SDI平台验收技术支持；广州房管sdi平台页面访问失败问题排查分析；佛山禅城sdi平台磁盘内存获取失败处理；</t>
  </si>
  <si>
    <t>sdi迭代SDI第二期-V2.3.2-20181012-21的代码整理、bug修复；迭代SDI第二期-V2.3.2-20181012-21验收演示和总结会议；</t>
  </si>
  <si>
    <t>sdi-manager集成license，启动验证，后端集成与接口实现；</t>
  </si>
  <si>
    <t>sdi平台数据库postgresql的定时统计功能实现（用系统crontab执行统计功能研究与对比）；</t>
  </si>
  <si>
    <t>佛山禅城sdi平台磁盘显示错误问题排查处理；sdi mysql资源库集群故障转移实现机制研究分析；</t>
  </si>
  <si>
    <t>昆明现场集群作业调度重复执行问题排查解决；迭代SDI第二期-V2.3.2-20181012-21资料整理及bug修复；</t>
  </si>
  <si>
    <t>sdi-manager集成license，实例添加前后端验证；人社部对外数据交换平台投标文档系统性能章节讨论；</t>
  </si>
  <si>
    <t>佛山禅城sdi平台磁盘显示错误问题跟进；省实大数据项目doc文档内容读取和上传es程序开发；sdi-license程序优化处理；广州房管sdi平台作业异常显示问题处理；</t>
  </si>
  <si>
    <t>kettle增量表输入组件改造优化（区间处理和时间戳精度毫秒）；迭代SDI第二期-V2.3.2-20181012-21的bug修复；</t>
  </si>
  <si>
    <t>sdi-manager安装worker实例时增加license验证与提示；license集成用户手册发布；</t>
  </si>
  <si>
    <t>SDI迭代主干版本和昆明现场版本的代码同步、冲突解决；昆明现场的升级包整理、说明文档（整体和各模块的升级说明、功能清单）；</t>
  </si>
  <si>
    <t>系统架构师任职资格答辩；DSG数据交换工具沟通会；license工具整理；</t>
  </si>
  <si>
    <t>项目售前组sdi平台调度器专利申请资料收集和编写；sdi平台日志收集、存储、分析工具研究（流行日志分析工具比对）；</t>
  </si>
  <si>
    <t>worker根据job来获取所有者资源库链接-开发；license集成bug修复；</t>
  </si>
  <si>
    <t>公安项目组sdi平台作业字段type为0问题排查解决；sdi平台测试环境配置文件缺失处理；</t>
  </si>
  <si>
    <t>省实大数据项目产品缺陷处理，及doc文档内容读取和上传es程序开发；项目sdi版本确认与整理发布；</t>
  </si>
  <si>
    <t>sdi平台测试集成环境打包报错问题处理（排查为配置文件缺失）；阳朔sdi平台问题数据接口调用异常的排查解决；sdg调用sdi平台的接口进行联调与对接；</t>
  </si>
  <si>
    <t>佛山禅城sdi平台登录页面卡及mysql慢问题排查分析；省实大数据项目产品缺陷处理；</t>
  </si>
  <si>
    <t>开发环境mysql数据库增加登录日志记录功能；sdi现场环境程序包版本及发布管理讨论；</t>
  </si>
  <si>
    <t>海南公安的sdi平台环境搭建指导与问题分析（license获取失败、相关配置文件配置）；sdi平台禅道缺陷问题解决；</t>
  </si>
  <si>
    <t>佛山禅城sdi平台作业排队不执行问题排查分析；省实大数据项目doc文档内容读取和上传es程序开发；</t>
  </si>
  <si>
    <t>sdi现场环境程序包版本及发布管理讨论；航信交接SDI平台打包测试及指导；SDI公司测试新环境部署问题指导；</t>
  </si>
  <si>
    <t>license集成bug修复；worker根据job来获取所有者资源库链接-开发测试；</t>
  </si>
  <si>
    <t>sdi平台禅道缺陷问题解决（程序无法自启动）；腾讯云平台安装sdi平台环境一键部署功能；阳朔sdi平台数据接口调用升级包整理与版本确认；</t>
  </si>
  <si>
    <t>省实大数据项目doc文档内容读取和上传es程序开发；佛山禅城sdi平台hbase表作业统计、作业排队不执行问题排查分析；</t>
  </si>
  <si>
    <t>珠海人社SDI现场作业模型功能schema不能获取、创建者为空问题排查和解决(功能缺陷)；公司环境mysql数据库问题排查及权限控制处理；海南项目sdi集群安装；</t>
  </si>
  <si>
    <t>license新版提交（验证时增加是否为生成lic时获取的网卡验证，以解决修改网络后网卡信息的顺序变动造成验证不通过）</t>
  </si>
  <si>
    <t>佛山禅城sdi平台卡慢问题排查分析；省实大数据项目doc文档内容读取和上传es程序对接；昆明公安厅项目SDI平台巡检及问题排查分析；</t>
  </si>
  <si>
    <t>珠海人社SDI现场作业模型功能生成作业增量时间戳不记录问题（stepname长度不够）；海南项目sdi集群安装license无效问题（网卡id不在末尾识别出错）排查；</t>
  </si>
  <si>
    <t>worker根据job来获取所有者资源库链接-kettle数据源管理改造；参与四方伟业公司产品介绍沟通会议；</t>
  </si>
  <si>
    <t>公司环境kettle删除作业锁表问题（删除关联信息进行提交）、sdimanager作业界面显示异常问题（long类型处理）排查解决；</t>
  </si>
  <si>
    <t>worker根据job来获取所有者资源库链接-kettle数据源管理改造；gbase批量插入方式测试；地税现场oracle12c问题跟进；</t>
  </si>
  <si>
    <t>sdi平台一键部署工具禅道缺陷问题解决（安装后防火墙配置放开，zookeeper程序配置优化等）；</t>
  </si>
  <si>
    <t>kettle对gbase数据库批量插入和删除功能测试；worker根据job来获取所有者资源库链接-kettle数据源管理改造；</t>
  </si>
  <si>
    <t>参加公司年度员工体检；sdi平台禅道缺陷问题解决（增加防火墙修改后需要保存，否则重启后无效；manager的zk连接信息要多个）；</t>
  </si>
  <si>
    <t>佛山禅城sdi平台作业数据删除插入数据不全、及调度问题排查分析；昆明公安厅项目SDI平台作业抽取日志数据不全问题排查分析；</t>
  </si>
  <si>
    <t>sdi平台数据统计的日志分析功能预研和工具对比整理；鸿霖开发平台web ui的组件中表输出和更新步骤的获取字段接口不一致问题分析；</t>
  </si>
  <si>
    <t>sdi-license-web工程优化实现；sdi git管理目录结构调整及版本管理优化；省实大数据项目doc文档内容读取和上传es程序对接；佛山禅城sdi平台作业数据删除插入数据不全、及调度问题排查分析；</t>
  </si>
  <si>
    <t>珠海iab现场sdi系统作业无调度问题（现场配置调度后没重启）排查；sdi manager增加安装实例是否在外部实现功能开关；</t>
  </si>
  <si>
    <t>web ui的组件中表输出、更新、删除步骤的获取字段接口不一致问题解决；下午请假</t>
  </si>
  <si>
    <t>月度任务工时分配与填写提交；SDI第二期-V2.4.1-20191014-30迭代任务SDI平台资源数据库多类型兼容 -- 数据库脚本编写；</t>
  </si>
  <si>
    <t>生产管理平台小组工时月度分配；社保佛山禅城ganger不稳定后作业需要手工处理恢复问题答复；昆明公安厅现场SDI平台作业配置报错问题（sql漏提交）排查解决；</t>
  </si>
  <si>
    <t>worker根据job来获取所有者资源库链接-kettle数据源管理改造；迭代资料整理；月度小组工时分配；postgre数据库序列功能bug修复；</t>
  </si>
  <si>
    <t>sdi平台禅道缺陷问题解决（一键式部署工具数据和文件清理等）；佛山地税项目sdi平台作业锁表问题分析解决；</t>
  </si>
  <si>
    <t>SDI第二期-V2.4.1-20191014-30迭代任务SDI平台资源数据库多类型兼容 -- postgresql数据库脚本编写；</t>
  </si>
  <si>
    <t>社保佛山禅城ganger不稳定后作业需要手工处理恢复问题沟通；迭代SDI第二期-V2.3.2-20181121-22需求评审及任务分解会议；</t>
  </si>
  <si>
    <t>房管项目tomcat启动失败问题排查（hostname没加入到hosts文件）；食药监反馈kettle的excel输入控件，左右去空格问题处理；worker根据job来获取所有者资源库链接-kettle数据源管理改造；</t>
  </si>
  <si>
    <t>sdi平台一键式部署工具优化及缺陷解决（部署工具的数据处理和文件清理等）；</t>
  </si>
  <si>
    <t>sdi月度工作内容总结；佛山禅城sdi平台作业字典转换步骤卡死问题排查与分析；昆明公安厅项目SDI平台manager卡死问题排查分析；</t>
  </si>
  <si>
    <t>kettle资源库基于mysql的数据库重连机制优化预研；昆明公安厅SDI访问REST接口功能可用测试、模板设计和验证；</t>
  </si>
  <si>
    <t>解决迭代bug问题（bug1533，bug1468）；管理中心对kettle日志库进行保护和屏蔽；食药监平台升级BS设计器；</t>
  </si>
  <si>
    <t>kettle资源库基于mysql的数据库重连机制优化预研；社保佛山禅城ganger不稳定问题沟通处理；</t>
  </si>
  <si>
    <t>食药监平台升级BS设计器后页面访问失败问题跟进；</t>
  </si>
  <si>
    <t>web ui的组件中表输出、更新、删除步骤的获取字段接口不一致问题协调确认；基于分布式部署的任务调度方法及装置 专利文档编写及修改；</t>
  </si>
  <si>
    <t>食药监平台升级BS设计器后页面访问失败问题跟进协调；</t>
  </si>
  <si>
    <t>sdg 数据管理和sdi平台接口对接讨论与分析；sdi 平台首页数据统计的功能需求和实现工具研讨与分析；</t>
  </si>
  <si>
    <t>sdi 平台首页数据统计的功能实现（存储过程编写）；</t>
  </si>
  <si>
    <t>佛山禅城sdi平台批量启动作业出现个别卡住问题排查分析（资料查询和研究）</t>
  </si>
  <si>
    <t>kettle资源库基于mysql的数据库重连机制优化预研；昆明公安厅SDI增量表输入组件字段修改确认；</t>
  </si>
  <si>
    <t>佛山禅城sdi平台批量启动作业出现个别卡住问题排查分析（jdk版本测试与发布）；sdi依赖库的数据库行级锁研究分析；</t>
  </si>
  <si>
    <t>社保佛山禅城增量模型数据主键冲突问题排查及调整沟通；昆明现场sdi问题确认沟通；部门软件开发版本管理沟通会议；</t>
  </si>
  <si>
    <t>食药监平台BS设计器版本升级协调（改造优化）；</t>
  </si>
  <si>
    <t>sdi 平台首页数据统计的功能实现与集成（一键部署工具实现crontab调用存储过程）；sdg 数据管理和sdi平台接口开发与对接联调；</t>
  </si>
  <si>
    <t>sdi产品集成到slc中联调测试与问题处理；SDI第二期-V2.4.1-20191014-30迭代任务SDI平台资源数据库多类型兼容 -- postgresql数据库脚本整理；</t>
  </si>
  <si>
    <t>社保佛山禅城增量模型数据主键冲突问题排查及调整沟通；昆明现场sdi问题确认沟通；迭代SDI第二期-V2.3.2-20181121-22的KAFKA任务分析解决；</t>
  </si>
  <si>
    <t>食药监平台BS设计器版本升级协调（改造优化）；社保现场的测试环境安装问题协助排查解决；</t>
  </si>
  <si>
    <t>省实项目组精神文明班需求沟通讨论；佛山禅城sdi平台作业的设置变量步骤报空问题分析；sdi产品集成到slc中联调测试与问题处理；</t>
  </si>
  <si>
    <t>迭代SDI第二期-V2.3.2-20181121-22的KAFKA任务分析解决；昆明现场sdi rest接口数据处理流程沟通；社保佛山禅城增量作业模型调整沟通；</t>
  </si>
  <si>
    <t>新版BS设计器发布到食药监平台，及URL安全加密改造协调；license有效期多算一天问题解决；</t>
  </si>
  <si>
    <t>昆明现场sdi rest接口数据处理流程沟通；社保佛山禅城增量作业模型调整沟通；迭代SDI第二期-V2.3.2-20181121-22演示验收会议；</t>
  </si>
  <si>
    <t>SPRINT15迭代资料整理；BS设计器集成后权限同步、配置优化问题跟进；</t>
  </si>
  <si>
    <t>sdg 数据管理和sdi平台接口开发与对接联调；sdi 平台首页数据统计的功能实现与集成（一键部署工具实现crontab调用存储过程）；</t>
  </si>
  <si>
    <t>昆明现场sdi rest接口数据处理流程研究与测试；</t>
  </si>
  <si>
    <t>个别机器上worker频繁GC问题排查；版本管理规范培训；部门月度总结计划会议；worker分用户启动作业BUG修复；</t>
  </si>
  <si>
    <t>jenkins中sdi平台打包问题处理解决（jaxson依赖缺失，在nexus中建档上传）；晓燚测试数据抽取作业无日志问题排查分析；</t>
  </si>
  <si>
    <t>佛山禅城sdi平台作业的hbase连接丢失问题分析；sdi产品集成slc升级包发布及现场升级沟通处理；</t>
  </si>
  <si>
    <t>sdi 平台首页数据统计的功能实现与集成后缺陷解决（首页部分数据未展示）；</t>
  </si>
  <si>
    <t>佛山禅城提出sdi的mysql5.5版本安全漏洞问题研究与分析；佛山禅城sdi平台作业的设置变量步骤为空报错问题；</t>
  </si>
  <si>
    <t>昆明现场sdi 增量时间戳问题处理；迭代SDI第二期-V2.3.2-20181121-22的资料收集和整理；昆明现场sdi问题沟通协调；</t>
  </si>
  <si>
    <t>sdi 平台首页数据统计的功能实现与集成后缺陷解决（ganger，worker,作业详情页面的部分图表不展示）；</t>
  </si>
  <si>
    <t>佛山禅城sdi平台作业调度定时不执行问题排查；佛山禅城sdi平台作业的设置变量步骤报空问题；</t>
  </si>
  <si>
    <t>昆明现场sdi集群mysql速度慢问题排查分析、测试；昆明现场sdi增量时间戳问题解决和测试验证；</t>
  </si>
  <si>
    <t>佛山地税项目内部沟通会议；解决uat环境出现ganger退出leader后重新成为leader，worker可用资源重复计算问题；解决小写kettle资源库再组件中出现的问题（mysql不区分大小写，但是代码中区分）；</t>
  </si>
  <si>
    <t>佛山禅城sdi平台作业的hbase连接丢失问题分析；SDI第二期-V2.4.1-20191014-30迭代任务SDI平台资源数据库多类型兼容 -- postgresql数据库脚本整理；</t>
  </si>
  <si>
    <t>worker根据job来获取所有者资源库链接-kettle数据源管理改造问题排查；参加佛山地税大数据平台项目启动会议；SPRINT15的迭代评审和总结会议；</t>
  </si>
  <si>
    <t>佛山禅城sdi平台作业的hbase连接丢失问题分析；sdi集成测试环境增加磁盘后jenkins环境迁移；</t>
  </si>
  <si>
    <t>昆明现场sdi集群mysql速度慢问题分析解决、验证测试；迭代SDI第二期-V2.3.2-20181121-22bug处理；</t>
  </si>
  <si>
    <t>整理SPRINT15的迭代资料；排查和解决任务bug（gbase类型数据库打开时MSSQL类型；postgreSql获取不到序列；主干启动作业报错问题；）</t>
  </si>
  <si>
    <t>社保佛山禅城现场作业调度问题排查及调整沟通；昆明现场sdi升级包程序整理与发布；</t>
  </si>
  <si>
    <t>排查和解决任务bug（postgreSql获取不到序列；worker上以作业所属用户创建资源库加载作业排查；ganger和worker都掉线并恢复后，容量水球累加问题；）</t>
  </si>
  <si>
    <t>sdi 平台首页数据统计的功能实现与集成后缺陷解决（ganger，worker实例页面的jvm图表数据收集问题）；bs设计器webui的功能开发沟通讨论；</t>
  </si>
  <si>
    <t>sdi数据库安装脚本验证协助；ganger noleader方法重现调试及iptables服务配置研究；</t>
  </si>
  <si>
    <t>bs设计器webui的状态栏作业基本信息修改功能开发（系统工具安装，开发环境搭建，示例编写）；</t>
  </si>
  <si>
    <t>省实项目sdi平台安全检测问题分析处理（日志查看全路径可读、cors和zookeeper控制）；佛山禅城sdi平台ganger进程丢失问题排查；</t>
  </si>
  <si>
    <t>佛山地税SDI系统环境部署及初验提供技术服务与协助；</t>
  </si>
  <si>
    <t>bs设计器webui的状态栏作业基本信息修改功能开发（前端界面开发）；sdi 腾讯部署环境作业执行无日志问题排查解决（数据库配置错误造成作业异常）；</t>
  </si>
  <si>
    <t>省实项目sdi平台数据加密，自定义java脚本功能配置与异常处理；2019年度sdi产品项目应用数据的总结和整理；</t>
  </si>
  <si>
    <t>社保佛山禅城现场作业调度问题排查及调整沟通；迭代SDI第二期-V2.3.2-20181121-22bug整理与解决；</t>
  </si>
  <si>
    <t>SDI第二期-V2.4.1-20191014-30迭代任务SDI平台资源数据库多类型兼容 -- postgresql数据库脚本整理；</t>
  </si>
  <si>
    <t>社保佛山禅城现场作业调度问题排查及调整沟通；SDI新里程碑需求整理及确认沟通；</t>
  </si>
  <si>
    <t>协助邦宁排查地税现场BS设计器打开报错问题（设计器与数据库在同一机器上以ip地址访问时需要配置对应ip的用户）；解决sdi-manager的license单机运行多实例问题；</t>
  </si>
  <si>
    <t>bs设计器webui的状态栏作业基本信息修改功能开发（后端功能开发及集成测试）；</t>
  </si>
  <si>
    <t>bs设计器webui的表输入等步骤组件的数据预览功能开发（数据预览功能界面开发）；sdi 腾讯部署环境作业乱码并无法执行问题排查解决（数据库连接配置错误造成作业异常）；</t>
  </si>
  <si>
    <t>2019年度sdi产品项目应用数据的总结和整理；SDI第二期-V2.4.1-20191014-30迭代任务 postgresql数据库脚本整理；</t>
  </si>
  <si>
    <t>SDI新里程碑需求整理及确认沟通；社保佛山禅城现场作业调度问题排查及调整沟通；昆明分支代码合并；SDI巡检记录表设计；</t>
  </si>
  <si>
    <t>协调解决sdi-manager中kettle文字问题；重现ganger连接zookeeper失败重连后资源水球重复计算问题；解决sdi-manager的license获取更多硬件信息验证；</t>
  </si>
  <si>
    <t>社保佛山禅城现场作业调度问题排查及调整沟通；迭代SDI第二期-V2.3.2-20181121-22bug整理解决；SDI巡检记录表设计及故障处理手册编写；</t>
  </si>
  <si>
    <t>协调解决sdi-manager中kettle文字问题(kettle, sdi-manager, bs设计器，数据库连接、用户、所有者等)；sybase数据库了解和安装包查找、下载；</t>
  </si>
  <si>
    <t>昆明现场sdi作业无法停止问题排查处理；社保佛山禅城现场CSV文件导入报错问题处理解决；</t>
  </si>
  <si>
    <t>sybase数据库环境下载和安装；协调解决sdi-manager中kettle文字替换为sdi问题；</t>
  </si>
  <si>
    <t>bs设计器webui的表输入等步骤组件的数据预览功能开发（后端数据接口开发与集成）；sdi 平台mysql数据库重建与迁移；应用组演示sdi平台数据错误问题排查解决（机器时间不同步）；</t>
  </si>
  <si>
    <t>昆明现场sdi作业文件清理问题排查处理；</t>
  </si>
  <si>
    <t>sybase数据库环境安装后远程访问失败问题排查解决（服务器防火墙问题）；食药监年度数据交换平台产品应用情况登记及反馈通知；sdi系统kettle文字及数据库替换为sdi后日志无记录问题排查及解决；</t>
  </si>
  <si>
    <t>bs设计器webui测试环境的缺陷问题排查（作业执行日志异常排查：平台worker实例冲突；作业转换的数据库连接一直无显示：缺少数据库驱动插件）；</t>
  </si>
  <si>
    <t>公司服务器周末停机后测试、打包、数据库环境启动恢复；SDI第二期-V2.4.1-20191014-30迭代任务SDI postgresql数据库程序改造；</t>
  </si>
  <si>
    <t>bs设计器webui的表输入等步骤组件的数据预览功能开发（字段超长时界面显示优化）；</t>
  </si>
  <si>
    <t>社保海口基础平台现场sdi平台调度停止问题排查沟通；SDI第二期-V2.4.1-20191014-30迭代任务SDI postgresql数据库程序改造；</t>
  </si>
  <si>
    <t>昆明现场sdi作业文件清理问题、转换切换卡慢、pg批量加载异常代码同步排查处理；昆明数据交换平台验收工作整理与协助；</t>
  </si>
  <si>
    <t>bs设计器webui测试环境的缺陷问题排查（作业配置保存后无法修改问题，获取字段功能异常问题）；</t>
  </si>
  <si>
    <t>广州大数据平台sdi mysql磁盘爆满问题排查与分析；SDI第二期-V2.4.1-20191014-30迭代任务SDI postgresql数据库程序改造；</t>
  </si>
  <si>
    <t>SDI新里程碑需求整理及确认沟通；社保佛山禅城现场作业调整排查及沟通；昆明数据交换平台并发错误问题排查；</t>
  </si>
  <si>
    <t>补充和整理SDI平台的存量需求与任务；与领导、辉梓进行需求确认和讨论；</t>
  </si>
  <si>
    <t>实施组咨询sdi平台部署和异常问题沟通（redis部署流程等）；bs设计器webui测试环境的缺陷问题排查（作业配置页面无响应问题排查）；</t>
  </si>
  <si>
    <t>佛山禅城sdi平台缺陷确认与整理；SDI第二期-V2.4.1-20191014-30迭代任务SDI postgresql数据库程序改造；</t>
  </si>
  <si>
    <t>社保海口基础平台现场环境搭建指导及问题解决；昆明数据交换平台并发错误问题排查；SDI第二期-V2.3.4-20181219-23新迭代计划及需求分解会议；</t>
  </si>
  <si>
    <t>SDI-SPRINT16的需求、计划整理与新迭代的资料准备；组织和召开SDI-SPRINT16的计划评审会议；</t>
  </si>
  <si>
    <t>SDI第二期-V2.4.1-20191014-30迭代任务SDI postgresql数据库程序改造；佛山禅城sdi平台反馈列表和日志详情的作业状态不一致问题排查升级；</t>
  </si>
  <si>
    <t>SDI第二期-V2.3.4-20181219-23迭代任务补充讨论及资料整理；昆明现场SDI文本文件输出并发错误问题解决；</t>
  </si>
  <si>
    <t>佛山地税项目的需求调研提纲补充及准备工作；月度小组工时分配；系统配置文件与参数优化-sdi-manager打包方式从jar改为war；</t>
  </si>
  <si>
    <t>昆明现场SDI文本文件输出并发错误问题解决；社保佛山禅城现场csv导入数据MD5不一致问题排查与指导；</t>
  </si>
  <si>
    <t>解决sdi-manager接口调用成功登陆的用户再次访问时密码不验证问题；参加中心二部的产品发布会；</t>
  </si>
  <si>
    <t>bs设计器webui测试环境的缺陷问题排查（作业配置后执行无法获取日志问题，保存作业后修改作业报错问题）；</t>
  </si>
  <si>
    <t>系统配置文件与参数优化-sdi-manager打包方式从jar改为war；sdi的webservice数据库更新接口调用失败问题排查；</t>
  </si>
  <si>
    <t>食药监数据交换平台作业无执行问题沟通与排查；bs设计器webui测试的缺陷问题沟通与排查（测试环境升级部署，缺陷问题沟通确认）；</t>
  </si>
  <si>
    <t>SDI第二期-V2.4.1-20191014-30迭代任务（SDI postgresql数据库程序改造）开发；</t>
  </si>
  <si>
    <t>测试环境的sdi平台实例启动不了问题排查及解决；bs设计器webui测试环境的缺陷问题排查（包含kafka生产者的转换报类不存在问题，）；</t>
  </si>
  <si>
    <t>佛山禅城社保项目的sdi平台的ganger实例丢失问题排查；SDI第二期-V2.4.1-20191014-30迭代任务（SDI postgresql数据库程序改造）开发；</t>
  </si>
  <si>
    <t>昆明现场作业不执行问题排查；社保佛山禅城现场作业状态丢失、状态不一致问题排查；SDI第二期-V2.3.4-20181219-23迭代任务开发；</t>
  </si>
  <si>
    <t>bs设计器webui测试环境的缺陷问题排查（kafka生产者程序包提交到maven，并在worker端进行组件依赖替换升级）；测试环境的sdi平台实例启动不了问题排查及解决；</t>
  </si>
  <si>
    <t>sdi产品平台开发版本合并整理，新分支创建；sdi平台新迭代需求收集整理；</t>
  </si>
  <si>
    <t>贵阳公安厅现场集群启动失败问题协助排查解决；SDI第二期-V2.3.4-20181219-23迭代任务开发；</t>
  </si>
  <si>
    <t>sdi的webservice数据库更新接口调用失败问题排查（新加的xercesImpl依赖包与程序有冲突）；</t>
  </si>
  <si>
    <t>辉：金鹏OEM数据管理平台系统问题处理跟进；</t>
  </si>
  <si>
    <t>sdi集群一键部署脚本工具tomcat版本升级与改造（7.0.61升级到7.0.103后配置改造，程序清理等）；sdi数据平台部署到centos8后缺陷修复和环境沟通；</t>
  </si>
  <si>
    <t>sdi平台开发新版本切换及打包工具异常处理；sdi平台新迭代需求分析设计；</t>
  </si>
  <si>
    <t>SDI第二期-V2.3.4-20181219-23迭代任务开发；昆明现场sdi数据库连接过多问题分析排查；</t>
  </si>
  <si>
    <t>佛山地税现场需求调研及现场问题解决；</t>
  </si>
  <si>
    <t>学：迭代SRPINT16任务功能开发；佛山地税项目需求调研；</t>
  </si>
  <si>
    <t>产品售前应用需要sdi平台结构图设计；sdi平台新迭代需求收集整理；</t>
  </si>
  <si>
    <t>昆明现场sdi数据库连接过多问题分析排查；昆明现场sdi json数据处理问题排查解决；昆明现场sdi cas登录跳转失败页面问题解决；与实施组进行现场巡检流程规范讨论沟通；</t>
  </si>
  <si>
    <t>现场外键清理；数据管理平台的开发环境搭建；sdi-manager的生成作业webservice接口报插件问题排查；</t>
  </si>
  <si>
    <t>东：迭代SRPINT16任务功能开发；增量表输入组件实现；</t>
  </si>
  <si>
    <t>sdi数据库增加用户访问权限后触发器不触发问题解决；elasticsearch产品工具研究；昆明现场sdi 调度卡死问题排查分析；</t>
  </si>
  <si>
    <t>数据管理平台的开发环境搭建；sdi-manager的生成作业webservice接口报插件问题排查；禅城一门式作业锁表问题排查；月度工作内容总结整理</t>
  </si>
  <si>
    <t>超：系统配置文件读写方式改造；</t>
  </si>
  <si>
    <t>bs设计器webui测试环境的缺陷问题排查（kafka生产者程序包依赖解决，worker执行作业报错问题排查）；</t>
  </si>
  <si>
    <t>elasticsearch产品工具研究及kettle插件研究；东莞数据平台SDI集群搭建指导与协助；昆明现场sdi json导入问题排查；</t>
  </si>
  <si>
    <t>kettle连资源后新增转换报错问题排查解决（sdi连接的createdate为空）；sdi-manager的生成作业webservice接口报插件问题排查（./kettle/plugins插件缺失）；sybase抽取乱码问题；裔东开发kettle组件界面指导；</t>
  </si>
  <si>
    <t>sdi集群一键部署脚本工具tomcat版本升级与改造（7.0.61升级到7.0.103后配置改造，程序清理等）；bs设计器webui 前端保存操作的后台接口开发；</t>
  </si>
  <si>
    <t>社保海南项目sdi平台的作业标签问题解答；SDI第二期-V2.4.1-20191014-30迭代任务清理与新迭代资料处理；</t>
  </si>
  <si>
    <t>bs设计器webui 关闭清理缓存（含是否保存标志）接口开发；sdi集群一键部署脚本工具tomcat版本升级与改造（7.0.61升级到7.0.103后配置改造，程序清理等）；</t>
  </si>
  <si>
    <t>SDI第二期-V2.4.1-20191014-30迭代任务清理与新迭代资料处理；sdi产品新迭代需求分析整理；</t>
  </si>
  <si>
    <t>社保事业部大数据项目sdi平台的mysql连接错误问题分析及排查(mysql数据文件损坏，迁移)；sdi集群一键部署脚本工具tomcat版本升级与改造（7.0.61升级到7.0.103后配置改造，程序清理等）</t>
  </si>
  <si>
    <t>编号</t>
  </si>
  <si>
    <t>答复</t>
  </si>
  <si>
    <t>4.1.7</t>
  </si>
  <si>
    <t>CORS跨域资源共享（高风险）</t>
  </si>
  <si>
    <t>4.2.11</t>
  </si>
  <si>
    <t>任意文件读取（高风险）</t>
  </si>
  <si>
    <t>4.2.12</t>
  </si>
  <si>
    <t>远程命令执行（高风险）</t>
  </si>
  <si>
    <t>4.2.13</t>
  </si>
  <si>
    <t>危险功能（高风险）</t>
  </si>
  <si>
    <t>建议降低风险度，不改</t>
  </si>
  <si>
    <t>4.3.3</t>
  </si>
  <si>
    <t>暴力破解测试（中风险）</t>
  </si>
  <si>
    <t>框架组解决</t>
  </si>
  <si>
    <t>4.3.9</t>
  </si>
  <si>
    <t>弱口令（高风险）</t>
  </si>
  <si>
    <t>框架组https解决</t>
  </si>
  <si>
    <t>4.4.1</t>
  </si>
  <si>
    <t>未设置角色权限（高风险）</t>
  </si>
  <si>
    <t>待解决</t>
  </si>
  <si>
    <t>4.6.1</t>
  </si>
  <si>
    <t>用户敏感信息保护（中风险）</t>
  </si>
  <si>
    <t>4.6.2</t>
  </si>
  <si>
    <t>数据库信息泄露（高风险）</t>
  </si>
  <si>
    <t>业务需要，不改</t>
  </si>
  <si>
    <t>4.9-4.19 昆明出差费用表</t>
  </si>
  <si>
    <t>无发票费用</t>
  </si>
  <si>
    <t>李</t>
  </si>
  <si>
    <t>往返机票</t>
  </si>
  <si>
    <t>金额</t>
  </si>
  <si>
    <t>用途说明</t>
  </si>
  <si>
    <t>学付</t>
  </si>
  <si>
    <t>民付</t>
  </si>
  <si>
    <t>动车</t>
  </si>
  <si>
    <t>机场到酒店车费</t>
  </si>
  <si>
    <t>房数</t>
  </si>
  <si>
    <t>价格</t>
  </si>
  <si>
    <t>玉龙雪山</t>
  </si>
  <si>
    <t>2人2餐</t>
  </si>
  <si>
    <t>2019.04.29</t>
  </si>
  <si>
    <t>爸妈火车票</t>
  </si>
  <si>
    <t>3间房费用</t>
  </si>
  <si>
    <t>丽江住宿</t>
  </si>
  <si>
    <t>5.10</t>
  </si>
  <si>
    <t>2019.05.02</t>
  </si>
  <si>
    <t>2人火车来回</t>
  </si>
  <si>
    <t>轿车来回费用</t>
  </si>
  <si>
    <t>租车</t>
  </si>
  <si>
    <t>韶关午餐</t>
  </si>
  <si>
    <t>香格里拉住宿</t>
  </si>
  <si>
    <t>香格里拉骑马</t>
  </si>
  <si>
    <t>门票</t>
  </si>
  <si>
    <t>丽江去机场</t>
  </si>
  <si>
    <t>2人1餐</t>
  </si>
  <si>
    <t>船票</t>
  </si>
  <si>
    <t>丹霞晚餐</t>
  </si>
  <si>
    <t>酒店到机场车费</t>
  </si>
  <si>
    <t>2019.05.03</t>
  </si>
  <si>
    <t>丹霞午餐</t>
  </si>
  <si>
    <t>2019.05.06</t>
  </si>
  <si>
    <t>爸妈回程火车票</t>
  </si>
  <si>
    <t>总计</t>
  </si>
  <si>
    <t>小计</t>
  </si>
  <si>
    <t>有发票费用</t>
  </si>
  <si>
    <t>结余</t>
  </si>
  <si>
    <t xml:space="preserve"> </t>
  </si>
  <si>
    <t>晚餐</t>
  </si>
  <si>
    <t>楚代付</t>
  </si>
  <si>
    <r>
      <rPr>
        <sz val="12"/>
        <rFont val="宋体"/>
        <charset val="134"/>
      </rPr>
      <t>5</t>
    </r>
    <r>
      <rPr>
        <sz val="12"/>
        <rFont val="宋体"/>
        <charset val="134"/>
      </rPr>
      <t>.9，10，11晚</t>
    </r>
  </si>
  <si>
    <t>标双房费</t>
  </si>
  <si>
    <t>支付宝</t>
  </si>
  <si>
    <r>
      <rPr>
        <sz val="12"/>
        <rFont val="宋体"/>
        <charset val="134"/>
      </rPr>
      <t>1</t>
    </r>
    <r>
      <rPr>
        <sz val="12"/>
        <rFont val="宋体"/>
        <charset val="134"/>
      </rPr>
      <t>2晚</t>
    </r>
  </si>
  <si>
    <t>2019.06.08</t>
  </si>
  <si>
    <t>房费</t>
  </si>
  <si>
    <t>油费</t>
  </si>
  <si>
    <t>13晚</t>
  </si>
  <si>
    <t>午餐</t>
  </si>
  <si>
    <t>高速费</t>
  </si>
  <si>
    <t>14晚</t>
  </si>
  <si>
    <t>信用卡</t>
  </si>
  <si>
    <r>
      <rPr>
        <sz val="12"/>
        <rFont val="宋体"/>
        <charset val="134"/>
      </rPr>
      <t>1</t>
    </r>
    <r>
      <rPr>
        <sz val="12"/>
        <rFont val="宋体"/>
        <charset val="134"/>
      </rPr>
      <t>5晚</t>
    </r>
  </si>
  <si>
    <t>2019.06.09</t>
  </si>
  <si>
    <r>
      <rPr>
        <sz val="12"/>
        <rFont val="宋体"/>
        <charset val="134"/>
      </rPr>
      <t>1</t>
    </r>
    <r>
      <rPr>
        <sz val="12"/>
        <rFont val="宋体"/>
        <charset val="134"/>
      </rPr>
      <t>6-24晚</t>
    </r>
  </si>
  <si>
    <t>其它</t>
  </si>
  <si>
    <t>版本升级通知</t>
  </si>
  <si>
    <t>升级日期时间：</t>
  </si>
  <si>
    <t>本周内（具体时间现场安排）</t>
  </si>
  <si>
    <t>基础版本：</t>
  </si>
  <si>
    <t>1.5.1</t>
  </si>
  <si>
    <t>升级后版本：</t>
  </si>
  <si>
    <t>1.5.3</t>
  </si>
  <si>
    <t>现场人员支持：</t>
  </si>
  <si>
    <t xml:space="preserve">■ 需要 </t>
  </si>
  <si>
    <r>
      <rPr>
        <b/>
        <sz val="11"/>
        <rFont val="宋体"/>
        <charset val="134"/>
      </rPr>
      <t xml:space="preserve">受影响范围：
</t>
    </r>
    <r>
      <rPr>
        <sz val="8"/>
        <rFont val="宋体"/>
        <charset val="134"/>
      </rPr>
      <t>（受影响的功能在升级期间内暂停使用）</t>
    </r>
  </si>
  <si>
    <t>■ 管理中心       □ BS设计器       □ 调度器     □ 执行器</t>
  </si>
  <si>
    <t>本次升级内容：</t>
  </si>
  <si>
    <t>解决作业重复添加造成的排队问题</t>
  </si>
  <si>
    <t>升级操作说明：</t>
  </si>
  <si>
    <t>见《升级操作说明》</t>
  </si>
  <si>
    <t>验证方式：</t>
  </si>
  <si>
    <t>1. 原来的url带参访问失败，通过post方式带checkno才能正常访问，具体访问方式见《管理中心访问方式》；</t>
  </si>
  <si>
    <t>风险警示：</t>
  </si>
  <si>
    <t>1. 有可能造成管理中心页面无法访问</t>
  </si>
  <si>
    <t>升级操作</t>
  </si>
  <si>
    <t>失败回退</t>
  </si>
  <si>
    <t>备份tomcat8-mcenter/webapps/basic目录</t>
  </si>
  <si>
    <t>删除升级后的tomcat8-mcenter/webapps/basic目录</t>
  </si>
  <si>
    <t>从附件解压取到basic目录覆盖到mcenter的以下目录：</t>
  </si>
  <si>
    <t>把备份好的原目录进行还原</t>
  </si>
  <si>
    <t>tomcat8-mcenter/webapps/basic</t>
  </si>
  <si>
    <t>重启mcenter</t>
  </si>
  <si>
    <t>确认basic/testno.jsp文件大小为854字节</t>
  </si>
  <si>
    <t>文档</t>
  </si>
  <si>
    <t>方法</t>
  </si>
  <si>
    <t>SQL</t>
  </si>
  <si>
    <t>执行用时
（单位：秒）</t>
  </si>
  <si>
    <t>执行计划截图</t>
  </si>
  <si>
    <t>一3</t>
  </si>
  <si>
    <t>queryEveryTimeJob</t>
  </si>
  <si>
    <t>select SUM(TMP.success),
       SUM(TMP.errored),
       SUM(TMP.startting),
       TMP.Logdate,
       TMP.startdate
  from (select sum(case
                     when ((STATUS = 'end' or STATUS = 'stop') and ERRORS = 0 or
                          ERRORS is null and
                          Logdate &gt; (trunc(sysdate, 'hh24') - 1 / 2)) then
                      1
                     else
                      0
                   end) as success,
               sum(case
                     when (startdate &gt; (trunc(sysdate, 'hh24') - 1 / 2)) then
                      1
                     else
                      0
                   end) as startting,
               sum(case
                     when (STATUS = 'error' or ERRORS &gt; 0) and
                          Logdate &gt; (trunc(sysdate, 'hh24') - 1 / 2) then
                      1
                     else
                      0
                   end) as errored,
               to_char(Logdate, 'hh24') as logdate,
               to_char(startdate, 'hh24') as startDate
          from T_Job_log
         where (Logdate &gt; (trunc(sysdate, 'hh24') - 1 / 2) or
               startdate &gt; (trunc(sysdate, 'hh24') - 1 / 2))
         group by to_char(Logdate, 'hh24'), to_char(startdate, 'hh24')) TMP
 group by TMP.Logdate, TMP.startdate;</t>
  </si>
  <si>
    <t>一5</t>
  </si>
  <si>
    <t>queryJobTopFiveFlows</t>
  </si>
  <si>
    <t>Select t.jobid,SUM(t.LINES_OUTPUT) AS aa from T_JOB_LOG t  GROUP BY t.jobid ORDER BY aa desc ;</t>
  </si>
  <si>
    <t>一8</t>
  </si>
  <si>
    <t>queryForSpeed</t>
  </si>
  <si>
    <t>SELECT * FROM T_JOB_LOG e where e.status ='running'</t>
  </si>
  <si>
    <t>二13</t>
  </si>
  <si>
    <t>queryJobHistoryDetail</t>
  </si>
  <si>
    <t>select * from (
SELECT startdate, LOGDATE AS enddate, jobid, jobname, errors
  , status AS logstatus, executing_server, NVL(lines_read, 0) AS lines_read, NVL(lines_written, 0) AS lines_written, NVL(lines_updated, 0) AS lines_updated
  , NVL(lines_input, 0) AS lines_input, NVL(lines_rejected, 0) AS lines_rejected, NVL(lines_output, 0) AS lines_output, status
FROM T_JOB_log
WHERE jobid = '50'
ORDER BY STARTDATE DESC)
where rownum &lt;=6</t>
  </si>
  <si>
    <t>三5</t>
  </si>
  <si>
    <t>getTodayFlow</t>
  </si>
  <si>
    <t>SELECT d.lines_input, d.lines_output, d.startdate AS hourstamp
FROM T_JOB_LOG d
WHERE d.jobID = '50'
  AND to_char(d.startdate,'yyyy-mm-dd') = to_char(sysdate,'yyyy-mm-dd')
ORDER BY hourstamp ASC</t>
  </si>
  <si>
    <t>四1</t>
  </si>
  <si>
    <t>getJobHistoryLogList</t>
  </si>
  <si>
    <t>SELECT e.jobId, e.jobName, e.status, e.LINES_INPUT, e.LINES_OUTPUT
  , e.LINES_REJECTED, e.startDate, e.logDate, e.EXECUTING_SERVER, e.errors
FROM T_JOB_LOG e
WHERE 1 = 1</t>
  </si>
  <si>
    <t>四2</t>
  </si>
  <si>
    <t>getJobHistoryLogCount</t>
  </si>
  <si>
    <t>select count(1) from T_JOB_LOG e where 1=1</t>
  </si>
  <si>
    <t>python环境安装部署</t>
  </si>
  <si>
    <t>2019.04.19</t>
  </si>
  <si>
    <r>
      <rPr>
        <sz val="12"/>
        <rFont val="宋体"/>
        <charset val="134"/>
      </rPr>
      <t>t</t>
    </r>
    <r>
      <rPr>
        <sz val="12"/>
        <rFont val="宋体"/>
        <charset val="134"/>
      </rPr>
      <t>ushare工具环境部署</t>
    </r>
  </si>
  <si>
    <r>
      <rPr>
        <sz val="12"/>
        <rFont val="宋体"/>
        <charset val="134"/>
      </rPr>
      <t>2</t>
    </r>
    <r>
      <rPr>
        <sz val="12"/>
        <rFont val="宋体"/>
        <charset val="134"/>
      </rPr>
      <t>019.04.22</t>
    </r>
  </si>
  <si>
    <t>步骤</t>
  </si>
  <si>
    <t>访问步骤</t>
  </si>
  <si>
    <t>获取访问checkno</t>
  </si>
  <si>
    <t>调用mcenter原有的webservice服务：login</t>
  </si>
  <si>
    <t>访问/mcenter/jobPage/job.jsp</t>
  </si>
  <si>
    <t>1)请求必须用post方式;
2)访问参数列表：
  AuthorizedUserID=manager;
  checkNo=192.168.68.107_1495000960717_kettle_996681_4045567007905556583555040;
  checkNo的值为前一步骤获取的；禅城AuthorizedUserID的值固定为manager</t>
  </si>
  <si>
    <t>每个checkNo的默认有效时间为10分钟，调整可修改config.properties的CheckNo.expired值（毫秒）；</t>
  </si>
  <si>
    <t>作业模板转义字符列表</t>
  </si>
  <si>
    <t>中文名</t>
  </si>
  <si>
    <t>原字符</t>
  </si>
  <si>
    <t>转义字符</t>
  </si>
  <si>
    <t>大于号</t>
  </si>
  <si>
    <t>&gt;</t>
  </si>
  <si>
    <t>&amp;#x3e;</t>
  </si>
  <si>
    <t>小于号</t>
  </si>
  <si>
    <t>&lt;</t>
  </si>
  <si>
    <t>&amp;#x3c;</t>
  </si>
  <si>
    <t>等号</t>
  </si>
  <si>
    <t>=</t>
  </si>
  <si>
    <t>&amp;#x3d;</t>
  </si>
  <si>
    <t>除号</t>
  </si>
  <si>
    <t>/</t>
  </si>
  <si>
    <t>&amp;#x2f;</t>
  </si>
  <si>
    <t>单引号</t>
  </si>
  <si>
    <t>'</t>
  </si>
  <si>
    <t>&amp;#x27;</t>
  </si>
  <si>
    <t>双引号</t>
  </si>
  <si>
    <t>"</t>
  </si>
  <si>
    <t>&amp;#x22;</t>
  </si>
  <si>
    <t>换行</t>
  </si>
  <si>
    <t>&amp;#xd;&amp;#xa;</t>
  </si>
  <si>
    <t>问号</t>
  </si>
  <si>
    <t>？</t>
  </si>
  <si>
    <t>&amp;#x3f;</t>
  </si>
  <si>
    <t>描述</t>
  </si>
  <si>
    <t>对应模块</t>
  </si>
  <si>
    <t>预计完成</t>
  </si>
  <si>
    <t>字典转换优化：每个字段增加2个配置项，用于配置无匹配时的处理方式：原值[原值]/NULL[NULL]/异常处理[走异常处理流程]/默认值[输入的默认值，用其它方式时默认值冷却]</t>
  </si>
  <si>
    <t>bs设计器组件，cs kettle</t>
  </si>
  <si>
    <t>等cs版改造后</t>
  </si>
  <si>
    <t>设计器中用户权限控制：
1.权限接口控制打开（菜单和图标），浏览（图标）、新建（菜单和图标）、数据库（下拉框、新建、确认）是否可用；
2.url增加参数控制设计器中新建（菜单和图标）、保存（2个图标）、数据库（下拉框、新建、确认）操作是否可用；</t>
  </si>
  <si>
    <t>bs设计器</t>
  </si>
  <si>
    <t>canModify=1-可用，0-不可用</t>
  </si>
  <si>
    <t>bs设计器和生成作业增加日志记录，记录操作时间、OBJECTID、对象类型（作业/转换）、操作类型（修改、新增、删除）、操作描述及其它相关字段；并另外增加一个是否有效字段，对于重新生成作业时，需要把日志记录的是否有效置为否。</t>
  </si>
  <si>
    <t>bs设计器，生成作业接口</t>
  </si>
  <si>
    <t>生成接口调用增加作业id，有值则根据作业id进行改名覆盖（需要接口联调）。</t>
  </si>
  <si>
    <t>生成作业接口</t>
  </si>
  <si>
    <t>提供作业模型导入导出接口（作业、关联转换导出成xml报文提供给管理平台，导入时将xml报文还原成对应作业和转换，会增加防篡改校验）</t>
  </si>
  <si>
    <t>管理中心提供接口</t>
  </si>
  <si>
    <t>bs设计器url增加参数控制是否同时打开关联转换（是的话打开后焦点在第一个转换上）。</t>
  </si>
  <si>
    <t>openTrans=1-打开；0-不打开</t>
  </si>
  <si>
    <t>数据库查询、过滤记录、空操作、json输入、json输出组件开发</t>
  </si>
  <si>
    <t>图标/菜单</t>
  </si>
  <si>
    <t>权限等级</t>
  </si>
  <si>
    <t>9（超级）</t>
  </si>
  <si>
    <t>5（维护）</t>
  </si>
  <si>
    <t>0（浏览）</t>
  </si>
  <si>
    <t>理解数据抽取的业务模型，了解kettle的基本实现原理和功能；设计并运行基本的数据抽取模型，并掌握资源库管理功能</t>
  </si>
  <si>
    <t>打开（图标、菜单）</t>
  </si>
  <si>
    <t>√</t>
  </si>
  <si>
    <t>o</t>
  </si>
  <si>
    <t>阅读和研究core,engine,ui的工程源码，并掌握相关表结构和数据基础，了解功能的设计和实现，能根据需求对源码进行调整和优化；</t>
  </si>
  <si>
    <t>探索(图标)</t>
  </si>
  <si>
    <t>掌握SDI各部件间的功能与关系，以及作业设计、调度、执行、反馈的机制，全面的理解SDI的整体结构和逻辑实现，能熟练的部署整个集群，并理解相关的配置参数。</t>
  </si>
  <si>
    <t>保存（图标、菜单）</t>
  </si>
  <si>
    <t>掌握SDI的整体结构和源代码，各个部件出现问题时，能快速定位问题的原因和代码位置进行优化调整。有新功能需求时，能完成开发工作。</t>
  </si>
  <si>
    <t>保存并生成作业(图标)</t>
  </si>
  <si>
    <t>加入产品开发迭代，参与迭代各项会议，积极接收并完成功能开发任务；并能对相关需求能独立思考、高效沟通和解决问题；</t>
  </si>
  <si>
    <t>新建（图标、菜单）</t>
  </si>
  <si>
    <t>数据库连接更换</t>
  </si>
  <si>
    <t>数据库连接新建</t>
  </si>
  <si>
    <t>数据库连接确定保存</t>
  </si>
  <si>
    <t>√-该级别用户可用，o-该级别用户不可用</t>
  </si>
  <si>
    <t>TRUNK</t>
  </si>
  <si>
    <t xml:space="preserve">    BRANCHES</t>
  </si>
  <si>
    <t>TAGS</t>
  </si>
  <si>
    <t xml:space="preserve">    循环迭代</t>
  </si>
  <si>
    <t>需求内容</t>
  </si>
  <si>
    <t>已关联</t>
  </si>
  <si>
    <t>已有需求</t>
  </si>
  <si>
    <t>优先级
（4-延迟或不做）</t>
  </si>
  <si>
    <t>需求描述</t>
  </si>
  <si>
    <t>验收标准</t>
  </si>
  <si>
    <t>1. 可疑作业分析；</t>
  </si>
  <si>
    <t>作业发生调度失败、执行失败、速度慢、连续异常时，分析出异常原因，具体进行分类；执行时长，执行异常；</t>
  </si>
  <si>
    <t>2. 作业调度管理；</t>
  </si>
  <si>
    <t>见禅道需求</t>
  </si>
  <si>
    <t>3. 数据增量抽取；</t>
  </si>
  <si>
    <t>新加一个增量表输入组件，用户不用关心时间戳的记录，只需要用户指定是否增量输入及增量时间戳字段，系统自动在读取数据时根据增量时间戳获取数据，并在数据抽取成功后更新时间戳。时间戳偏移量可以配置（如5分钟）、默认无偏移；</t>
  </si>
  <si>
    <t>1.用户指定是否增量输入及增量时间戳字段，系统自动在读取数据时根据增量时间戳获取数据，并在数据抽取成功后更新时间戳。
2.时间戳偏移量可以配置（如5分钟）、默认无偏移；</t>
  </si>
  <si>
    <t>4. 负一页设计与开发；</t>
  </si>
  <si>
    <t>与UI组沟通，根据SDI业务关系设计星云背景及配置；
其它图表根据SDI业务关系进行设计</t>
  </si>
  <si>
    <t xml:space="preserve">
</t>
  </si>
  <si>
    <t>5. 与Sonar对接；</t>
  </si>
  <si>
    <t>SONAR负责开发，SDI配合对接测试联调，具体待与松哥讨论</t>
  </si>
  <si>
    <t>6. 数据质量管理设计；</t>
  </si>
  <si>
    <t>数据管理平台和交换平台整合对接；</t>
  </si>
  <si>
    <t>7. BS设计器是否可以用CS设计器代替；</t>
  </si>
  <si>
    <t>目前继续解决集成后的session失效验证问题</t>
  </si>
  <si>
    <t>8. 作业运行状态备份和恢复；</t>
  </si>
  <si>
    <t>目前有热切换可用</t>
  </si>
  <si>
    <t>9. 作业指定worker组执行；</t>
  </si>
  <si>
    <t>10. 平台部署过程打包简化，配置信息是否不写死在jar中。</t>
  </si>
  <si>
    <t>应用中心可以自己下载安装包和试用license进行安装试用</t>
  </si>
  <si>
    <t>11.实现作业对应的输入/输出数据源的流量统计</t>
  </si>
  <si>
    <t>12.为了实现websock触发推送到负一页，考虑将作业信息（状态，输入输出量，执行worker，速度等）放到zookeeper上</t>
  </si>
  <si>
    <t>待补充</t>
  </si>
  <si>
    <t>13.为了简化以后数据管理平台业务逻辑和兼用型，预研metadata injection实现根据job，transformation模板生成作业与转换</t>
  </si>
  <si>
    <t>14.开始sdi升级到kettle7.1准备工作（搭建kettle7.1开发环境（包括kettle7.1engine，core，ui，dbdialog，大数据组件，redis组件，我们在自己开发的所有组件））</t>
  </si>
  <si>
    <t>15.license规则优化</t>
  </si>
  <si>
    <t>16.删除组件增加是否批量提交选项，选择GBASE类型数据库时自动关闭批量提交</t>
  </si>
  <si>
    <t>17.调度问题排查建议</t>
  </si>
  <si>
    <t>系统测试用例</t>
  </si>
  <si>
    <t>用例ID：</t>
  </si>
  <si>
    <t>SDI-2.1.015-002</t>
  </si>
  <si>
    <t>软件ID：</t>
  </si>
  <si>
    <t>SDI-2.1.015</t>
  </si>
  <si>
    <t>用例作者：</t>
  </si>
  <si>
    <t>日期：</t>
  </si>
  <si>
    <t>开发人员：</t>
  </si>
  <si>
    <t>杨成超</t>
  </si>
  <si>
    <t>模块名称：</t>
  </si>
  <si>
    <t>用户管理系统</t>
  </si>
  <si>
    <t>测试类型：</t>
  </si>
  <si>
    <t>系统测试</t>
  </si>
  <si>
    <t>测试方法：</t>
  </si>
  <si>
    <t>黑盒测试</t>
  </si>
  <si>
    <t>用例描述：</t>
  </si>
  <si>
    <t>权限关系</t>
  </si>
  <si>
    <t>测试项</t>
  </si>
  <si>
    <t>测试类别</t>
  </si>
  <si>
    <t>操作描述</t>
  </si>
  <si>
    <t>期望结果</t>
  </si>
  <si>
    <t>实际结果</t>
  </si>
  <si>
    <t>页面/模块</t>
  </si>
  <si>
    <t>页面访问权限</t>
  </si>
  <si>
    <t>系统管理</t>
  </si>
  <si>
    <t>用户管理</t>
  </si>
  <si>
    <t>新增用户</t>
  </si>
  <si>
    <t>操作</t>
  </si>
  <si>
    <t>用户管理页面，点击新增用户，打开新增用户窗口</t>
  </si>
  <si>
    <t>成功打开新增用户窗口</t>
  </si>
  <si>
    <t>SDI告警</t>
  </si>
  <si>
    <t>类型</t>
  </si>
  <si>
    <t>事件</t>
  </si>
  <si>
    <t>告警内容</t>
  </si>
  <si>
    <t>级别</t>
  </si>
  <si>
    <t>发起者</t>
  </si>
  <si>
    <t>ganger启动</t>
  </si>
  <si>
    <t>时间，实例id，失败异常内容摘要</t>
  </si>
  <si>
    <t>信息</t>
  </si>
  <si>
    <t>manager</t>
  </si>
  <si>
    <t>ganger leading</t>
  </si>
  <si>
    <t>时间，实例id</t>
  </si>
  <si>
    <t>ganger退出leading</t>
  </si>
  <si>
    <t>警告</t>
  </si>
  <si>
    <t>ganger退出</t>
  </si>
  <si>
    <t>worker启动</t>
  </si>
  <si>
    <t>worker失联</t>
  </si>
  <si>
    <t>异常</t>
  </si>
  <si>
    <t>worker繁忙</t>
  </si>
  <si>
    <t>时间，实例id，当前执行作业id</t>
  </si>
  <si>
    <t>worker退出</t>
  </si>
  <si>
    <t>作业</t>
  </si>
  <si>
    <t>启动</t>
  </si>
  <si>
    <t>时间，作业id，调度配置</t>
  </si>
  <si>
    <t>调度失败（包括失联）</t>
  </si>
  <si>
    <t>时间，作业id（workerid），失败异常内容摘要</t>
  </si>
  <si>
    <t>派发</t>
  </si>
  <si>
    <t>时间，作业id，workerid</t>
  </si>
  <si>
    <t>执行</t>
  </si>
  <si>
    <t>执行失败</t>
  </si>
  <si>
    <t>时间，作业id，workerid，失败异常内容摘要</t>
  </si>
  <si>
    <t>完成</t>
  </si>
</sst>
</file>

<file path=xl/styles.xml><?xml version="1.0" encoding="utf-8"?>
<styleSheet xmlns="http://schemas.openxmlformats.org/spreadsheetml/2006/main">
  <numFmts count="6">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 numFmtId="176" formatCode="0.0_ "/>
    <numFmt numFmtId="177" formatCode="#,##0.00_ "/>
  </numFmts>
  <fonts count="44">
    <font>
      <sz val="12"/>
      <name val="宋体"/>
      <charset val="134"/>
    </font>
    <font>
      <b/>
      <sz val="12"/>
      <name val="宋体"/>
      <charset val="134"/>
    </font>
    <font>
      <sz val="10"/>
      <name val="宋体"/>
      <charset val="134"/>
    </font>
    <font>
      <b/>
      <sz val="18"/>
      <name val="宋体"/>
      <charset val="134"/>
    </font>
    <font>
      <b/>
      <sz val="20"/>
      <name val="宋体"/>
      <charset val="134"/>
    </font>
    <font>
      <sz val="11"/>
      <color indexed="8"/>
      <name val="宋体"/>
      <charset val="134"/>
    </font>
    <font>
      <b/>
      <sz val="11"/>
      <color indexed="8"/>
      <name val="宋体"/>
      <charset val="134"/>
    </font>
    <font>
      <sz val="10"/>
      <color indexed="21"/>
      <name val="宋体"/>
      <charset val="134"/>
    </font>
    <font>
      <b/>
      <sz val="16"/>
      <name val="宋体"/>
      <charset val="134"/>
    </font>
    <font>
      <b/>
      <sz val="11"/>
      <name val="宋体"/>
      <charset val="134"/>
    </font>
    <font>
      <sz val="11"/>
      <name val="宋体"/>
      <charset val="134"/>
    </font>
    <font>
      <b/>
      <sz val="10"/>
      <name val="宋体"/>
      <charset val="134"/>
    </font>
    <font>
      <sz val="10"/>
      <color indexed="10"/>
      <name val="宋体"/>
      <charset val="134"/>
    </font>
    <font>
      <u/>
      <sz val="11"/>
      <color indexed="12"/>
      <name val="宋体"/>
      <charset val="134"/>
    </font>
    <font>
      <u/>
      <sz val="11"/>
      <color indexed="20"/>
      <name val="宋体"/>
      <charset val="134"/>
    </font>
    <font>
      <sz val="12"/>
      <color indexed="10"/>
      <name val="宋体"/>
      <charset val="134"/>
    </font>
    <font>
      <sz val="10"/>
      <name val="Arial"/>
      <charset val="134"/>
    </font>
    <font>
      <b/>
      <sz val="18"/>
      <name val="Arial"/>
      <charset val="134"/>
    </font>
    <font>
      <b/>
      <sz val="14"/>
      <name val="宋体"/>
      <charset val="134"/>
    </font>
    <font>
      <sz val="11"/>
      <name val="Arial"/>
      <charset val="134"/>
    </font>
    <font>
      <sz val="12"/>
      <name val="Arial"/>
      <charset val="134"/>
    </font>
    <font>
      <b/>
      <sz val="12"/>
      <name val="Arial"/>
      <charset val="134"/>
    </font>
    <font>
      <b/>
      <sz val="16"/>
      <name val="Arial"/>
      <charset val="134"/>
    </font>
    <font>
      <sz val="11"/>
      <color theme="0"/>
      <name val="宋体"/>
      <charset val="0"/>
      <scheme val="minor"/>
    </font>
    <font>
      <sz val="11"/>
      <color theme="1"/>
      <name val="宋体"/>
      <charset val="0"/>
      <scheme val="minor"/>
    </font>
    <font>
      <sz val="11"/>
      <color theme="1"/>
      <name val="宋体"/>
      <charset val="134"/>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theme="1"/>
      <name val="宋体"/>
      <charset val="0"/>
      <scheme val="minor"/>
    </font>
    <font>
      <sz val="11"/>
      <color rgb="FF3F3F76"/>
      <name val="宋体"/>
      <charset val="0"/>
      <scheme val="minor"/>
    </font>
    <font>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sz val="11"/>
      <color rgb="FF9C6500"/>
      <name val="宋体"/>
      <charset val="0"/>
      <scheme val="minor"/>
    </font>
    <font>
      <sz val="11"/>
      <color rgb="FF006100"/>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b/>
      <sz val="15"/>
      <color theme="3"/>
      <name val="宋体"/>
      <charset val="134"/>
      <scheme val="minor"/>
    </font>
    <font>
      <sz val="8"/>
      <name val="宋体"/>
      <charset val="134"/>
    </font>
    <font>
      <sz val="9"/>
      <name val="宋体"/>
      <charset val="134"/>
    </font>
  </fonts>
  <fills count="39">
    <fill>
      <patternFill patternType="none"/>
    </fill>
    <fill>
      <patternFill patternType="gray125"/>
    </fill>
    <fill>
      <patternFill patternType="solid">
        <fgColor indexed="53"/>
        <bgColor indexed="64"/>
      </patternFill>
    </fill>
    <fill>
      <patternFill patternType="solid">
        <fgColor indexed="10"/>
        <bgColor indexed="64"/>
      </patternFill>
    </fill>
    <fill>
      <patternFill patternType="solid">
        <fgColor indexed="48"/>
        <bgColor indexed="64"/>
      </patternFill>
    </fill>
    <fill>
      <patternFill patternType="solid">
        <fgColor indexed="51"/>
        <bgColor indexed="64"/>
      </patternFill>
    </fill>
    <fill>
      <patternFill patternType="solid">
        <fgColor indexed="47"/>
        <bgColor indexed="64"/>
      </patternFill>
    </fill>
    <fill>
      <patternFill patternType="solid">
        <fgColor indexed="22"/>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9"/>
        <bgColor indexed="64"/>
      </patternFill>
    </fill>
    <fill>
      <patternFill patternType="solid">
        <fgColor theme="4"/>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5"/>
        <bgColor indexed="64"/>
      </patternFill>
    </fill>
    <fill>
      <patternFill patternType="solid">
        <fgColor rgb="FFF2F2F2"/>
        <bgColor indexed="64"/>
      </patternFill>
    </fill>
    <fill>
      <patternFill patternType="solid">
        <fgColor theme="9" tint="0.599993896298105"/>
        <bgColor indexed="64"/>
      </patternFill>
    </fill>
    <fill>
      <patternFill patternType="solid">
        <fgColor theme="8"/>
        <bgColor indexed="64"/>
      </patternFill>
    </fill>
    <fill>
      <patternFill patternType="solid">
        <fgColor rgb="FFFFEB9C"/>
        <bgColor indexed="64"/>
      </patternFill>
    </fill>
    <fill>
      <patternFill patternType="solid">
        <fgColor rgb="FFC6EFCE"/>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rgb="FFA5A5A5"/>
        <bgColor indexed="64"/>
      </patternFill>
    </fill>
    <fill>
      <patternFill patternType="solid">
        <fgColor theme="7"/>
        <bgColor indexed="64"/>
      </patternFill>
    </fill>
    <fill>
      <patternFill patternType="solid">
        <fgColor theme="9"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5" tint="0.599993896298105"/>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25" fillId="0" borderId="0" applyFont="0" applyFill="0" applyBorder="0" applyAlignment="0" applyProtection="0">
      <alignment vertical="center"/>
    </xf>
    <xf numFmtId="0" fontId="24" fillId="20" borderId="0" applyNumberFormat="0" applyBorder="0" applyAlignment="0" applyProtection="0">
      <alignment vertical="center"/>
    </xf>
    <xf numFmtId="0" fontId="30" fillId="17" borderId="18" applyNumberFormat="0" applyAlignment="0" applyProtection="0">
      <alignment vertical="center"/>
    </xf>
    <xf numFmtId="44"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4" fillId="18" borderId="0" applyNumberFormat="0" applyBorder="0" applyAlignment="0" applyProtection="0">
      <alignment vertical="center"/>
    </xf>
    <xf numFmtId="0" fontId="28" fillId="12" borderId="0" applyNumberFormat="0" applyBorder="0" applyAlignment="0" applyProtection="0">
      <alignment vertical="center"/>
    </xf>
    <xf numFmtId="43" fontId="25" fillId="0" borderId="0" applyFont="0" applyFill="0" applyBorder="0" applyAlignment="0" applyProtection="0">
      <alignment vertical="center"/>
    </xf>
    <xf numFmtId="0" fontId="23" fillId="21" borderId="0" applyNumberFormat="0" applyBorder="0" applyAlignment="0" applyProtection="0">
      <alignment vertical="center"/>
    </xf>
    <xf numFmtId="0" fontId="13" fillId="0" borderId="0" applyNumberFormat="0" applyFill="0" applyBorder="0" applyAlignment="0" applyProtection="0">
      <alignment vertical="center"/>
    </xf>
    <xf numFmtId="9" fontId="25" fillId="0" borderId="0" applyFont="0" applyFill="0" applyBorder="0" applyAlignment="0" applyProtection="0">
      <alignment vertical="center"/>
    </xf>
    <xf numFmtId="0" fontId="39" fillId="0" borderId="0" applyNumberFormat="0" applyFill="0" applyBorder="0" applyAlignment="0" applyProtection="0">
      <alignment vertical="center"/>
    </xf>
    <xf numFmtId="0" fontId="25" fillId="33" borderId="23" applyNumberFormat="0" applyFont="0" applyAlignment="0" applyProtection="0">
      <alignment vertical="center"/>
    </xf>
    <xf numFmtId="0" fontId="23" fillId="14" borderId="0" applyNumberFormat="0" applyBorder="0" applyAlignment="0" applyProtection="0">
      <alignment vertical="center"/>
    </xf>
    <xf numFmtId="0" fontId="3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41" fillId="0" borderId="16" applyNumberFormat="0" applyFill="0" applyAlignment="0" applyProtection="0">
      <alignment vertical="center"/>
    </xf>
    <xf numFmtId="0" fontId="26" fillId="0" borderId="16" applyNumberFormat="0" applyFill="0" applyAlignment="0" applyProtection="0">
      <alignment vertical="center"/>
    </xf>
    <xf numFmtId="0" fontId="23" fillId="16" borderId="0" applyNumberFormat="0" applyBorder="0" applyAlignment="0" applyProtection="0">
      <alignment vertical="center"/>
    </xf>
    <xf numFmtId="0" fontId="33" fillId="0" borderId="21" applyNumberFormat="0" applyFill="0" applyAlignment="0" applyProtection="0">
      <alignment vertical="center"/>
    </xf>
    <xf numFmtId="0" fontId="23" fillId="35" borderId="0" applyNumberFormat="0" applyBorder="0" applyAlignment="0" applyProtection="0">
      <alignment vertical="center"/>
    </xf>
    <xf numFmtId="0" fontId="32" fillId="23" borderId="20" applyNumberFormat="0" applyAlignment="0" applyProtection="0">
      <alignment vertical="center"/>
    </xf>
    <xf numFmtId="0" fontId="40" fillId="23" borderId="18" applyNumberFormat="0" applyAlignment="0" applyProtection="0">
      <alignment vertical="center"/>
    </xf>
    <xf numFmtId="0" fontId="37" fillId="30" borderId="22" applyNumberFormat="0" applyAlignment="0" applyProtection="0">
      <alignment vertical="center"/>
    </xf>
    <xf numFmtId="0" fontId="24" fillId="32" borderId="0" applyNumberFormat="0" applyBorder="0" applyAlignment="0" applyProtection="0">
      <alignment vertical="center"/>
    </xf>
    <xf numFmtId="0" fontId="23" fillId="22" borderId="0" applyNumberFormat="0" applyBorder="0" applyAlignment="0" applyProtection="0">
      <alignment vertical="center"/>
    </xf>
    <xf numFmtId="0" fontId="31" fillId="0" borderId="19" applyNumberFormat="0" applyFill="0" applyAlignment="0" applyProtection="0">
      <alignment vertical="center"/>
    </xf>
    <xf numFmtId="0" fontId="29" fillId="0" borderId="17" applyNumberFormat="0" applyFill="0" applyAlignment="0" applyProtection="0">
      <alignment vertical="center"/>
    </xf>
    <xf numFmtId="0" fontId="36" fillId="27" borderId="0" applyNumberFormat="0" applyBorder="0" applyAlignment="0" applyProtection="0">
      <alignment vertical="center"/>
    </xf>
    <xf numFmtId="0" fontId="35" fillId="26" borderId="0" applyNumberFormat="0" applyBorder="0" applyAlignment="0" applyProtection="0">
      <alignment vertical="center"/>
    </xf>
    <xf numFmtId="0" fontId="24" fillId="15" borderId="0" applyNumberFormat="0" applyBorder="0" applyAlignment="0" applyProtection="0">
      <alignment vertical="center"/>
    </xf>
    <xf numFmtId="0" fontId="23" fillId="11" borderId="0" applyNumberFormat="0" applyBorder="0" applyAlignment="0" applyProtection="0">
      <alignment vertical="center"/>
    </xf>
    <xf numFmtId="0" fontId="24" fillId="13" borderId="0" applyNumberFormat="0" applyBorder="0" applyAlignment="0" applyProtection="0">
      <alignment vertical="center"/>
    </xf>
    <xf numFmtId="0" fontId="24" fillId="9"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3" fillId="19" borderId="0" applyNumberFormat="0" applyBorder="0" applyAlignment="0" applyProtection="0">
      <alignment vertical="center"/>
    </xf>
    <xf numFmtId="0" fontId="23" fillId="31" borderId="0" applyNumberFormat="0" applyBorder="0" applyAlignment="0" applyProtection="0">
      <alignment vertical="center"/>
    </xf>
    <xf numFmtId="0" fontId="24" fillId="34" borderId="0" applyNumberFormat="0" applyBorder="0" applyAlignment="0" applyProtection="0">
      <alignment vertical="center"/>
    </xf>
    <xf numFmtId="0" fontId="24" fillId="29" borderId="0" applyNumberFormat="0" applyBorder="0" applyAlignment="0" applyProtection="0">
      <alignment vertical="center"/>
    </xf>
    <xf numFmtId="0" fontId="23" fillId="25" borderId="0" applyNumberFormat="0" applyBorder="0" applyAlignment="0" applyProtection="0">
      <alignment vertical="center"/>
    </xf>
    <xf numFmtId="0" fontId="24" fillId="28" borderId="0" applyNumberFormat="0" applyBorder="0" applyAlignment="0" applyProtection="0">
      <alignment vertical="center"/>
    </xf>
    <xf numFmtId="0" fontId="23" fillId="8" borderId="0" applyNumberFormat="0" applyBorder="0" applyAlignment="0" applyProtection="0">
      <alignment vertical="center"/>
    </xf>
    <xf numFmtId="0" fontId="23" fillId="10" borderId="0" applyNumberFormat="0" applyBorder="0" applyAlignment="0" applyProtection="0">
      <alignment vertical="center"/>
    </xf>
    <xf numFmtId="0" fontId="24" fillId="24" borderId="0" applyNumberFormat="0" applyBorder="0" applyAlignment="0" applyProtection="0">
      <alignment vertical="center"/>
    </xf>
    <xf numFmtId="0" fontId="23" fillId="36" borderId="0" applyNumberFormat="0" applyBorder="0" applyAlignment="0" applyProtection="0">
      <alignment vertical="center"/>
    </xf>
  </cellStyleXfs>
  <cellXfs count="17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2" borderId="0" xfId="0" applyFont="1" applyFill="1">
      <alignment vertical="center"/>
    </xf>
    <xf numFmtId="0" fontId="2" fillId="3" borderId="0" xfId="0" applyFont="1" applyFill="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4" fillId="0" borderId="1" xfId="0" applyFont="1" applyBorder="1" applyAlignment="1">
      <alignment horizontal="center" vertical="center"/>
    </xf>
    <xf numFmtId="0" fontId="0" fillId="0" borderId="0" xfId="0" applyAlignment="1">
      <alignment vertical="center"/>
    </xf>
    <xf numFmtId="0" fontId="0" fillId="0" borderId="2" xfId="0" applyBorder="1">
      <alignment vertical="center"/>
    </xf>
    <xf numFmtId="0" fontId="0" fillId="0" borderId="3" xfId="0" applyBorder="1" applyAlignment="1">
      <alignment horizontal="center" vertical="center"/>
    </xf>
    <xf numFmtId="0" fontId="0" fillId="0" borderId="3" xfId="0" applyBorder="1">
      <alignment vertical="center"/>
    </xf>
    <xf numFmtId="0" fontId="0" fillId="0" borderId="4" xfId="0" applyBorder="1" applyAlignment="1">
      <alignment horizontal="center" vertical="center"/>
    </xf>
    <xf numFmtId="0" fontId="0" fillId="0" borderId="5" xfId="0" applyBorder="1">
      <alignment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7"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5" fillId="0" borderId="0" xfId="0" applyFont="1" applyFill="1" applyBorder="1" applyAlignment="1">
      <alignment vertical="center"/>
    </xf>
    <xf numFmtId="0" fontId="6" fillId="0" borderId="0" xfId="0" applyFont="1" applyFill="1" applyBorder="1" applyAlignment="1">
      <alignment horizontal="center" vertical="center"/>
    </xf>
    <xf numFmtId="0" fontId="6" fillId="0" borderId="0" xfId="0" applyFont="1" applyFill="1" applyAlignment="1">
      <alignment horizontal="center" vertical="center"/>
    </xf>
    <xf numFmtId="0" fontId="6" fillId="0" borderId="0" xfId="0" applyFont="1" applyFill="1" applyAlignment="1">
      <alignment vertical="center"/>
    </xf>
    <xf numFmtId="0" fontId="5" fillId="0" borderId="0" xfId="0" applyFont="1" applyFill="1" applyAlignment="1">
      <alignment horizontal="left" vertical="center"/>
    </xf>
    <xf numFmtId="0" fontId="7" fillId="0" borderId="0" xfId="0" applyFont="1" applyFill="1" applyBorder="1"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NumberFormat="1" applyAlignment="1">
      <alignment vertical="center" wrapText="1"/>
    </xf>
    <xf numFmtId="0" fontId="1" fillId="0" borderId="0" xfId="0" applyNumberFormat="1" applyFont="1" applyAlignment="1">
      <alignment vertical="center" wrapText="1"/>
    </xf>
    <xf numFmtId="0" fontId="2" fillId="0" borderId="0" xfId="0" applyNumberFormat="1" applyFont="1" applyAlignment="1">
      <alignment vertical="center" wrapText="1"/>
    </xf>
    <xf numFmtId="0" fontId="0" fillId="0" borderId="1" xfId="0" applyBorder="1" applyAlignment="1">
      <alignment horizontal="center" vertical="center"/>
    </xf>
    <xf numFmtId="0" fontId="0" fillId="0" borderId="1" xfId="0" applyBorder="1">
      <alignment vertical="center"/>
    </xf>
    <xf numFmtId="0" fontId="0" fillId="0" borderId="10" xfId="0" applyBorder="1" applyAlignment="1">
      <alignment vertical="center"/>
    </xf>
    <xf numFmtId="0" fontId="0" fillId="0" borderId="11" xfId="0" applyBorder="1" applyAlignment="1">
      <alignment horizontal="left" vertical="center"/>
    </xf>
    <xf numFmtId="0" fontId="0" fillId="0" borderId="12" xfId="0" applyBorder="1" applyAlignment="1">
      <alignment horizontal="lef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Font="1">
      <alignment vertical="center"/>
    </xf>
    <xf numFmtId="0" fontId="0" fillId="0" borderId="0" xfId="0" applyFont="1" applyFill="1" applyBorder="1" applyAlignment="1">
      <alignment vertical="center"/>
    </xf>
    <xf numFmtId="0" fontId="0" fillId="0" borderId="0" xfId="0" applyFont="1" applyFill="1" applyBorder="1" applyAlignment="1">
      <alignment horizontal="center" vertical="center"/>
    </xf>
    <xf numFmtId="0" fontId="0" fillId="0" borderId="0" xfId="0" applyFont="1" applyFill="1" applyAlignment="1">
      <alignment horizontal="center" vertical="center"/>
    </xf>
    <xf numFmtId="0" fontId="1" fillId="0" borderId="13"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4" xfId="0" applyFont="1" applyFill="1" applyBorder="1" applyAlignment="1">
      <alignment vertical="center"/>
    </xf>
    <xf numFmtId="0" fontId="0" fillId="0" borderId="2" xfId="0" applyFont="1" applyFill="1" applyBorder="1" applyAlignment="1">
      <alignment vertical="center"/>
    </xf>
    <xf numFmtId="0" fontId="1" fillId="0" borderId="14"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ont="1" applyFill="1" applyBorder="1" applyAlignment="1">
      <alignment vertical="center"/>
    </xf>
    <xf numFmtId="0" fontId="0" fillId="0" borderId="5" xfId="0" applyFont="1" applyFill="1" applyBorder="1" applyAlignment="1">
      <alignment vertical="center"/>
    </xf>
    <xf numFmtId="0" fontId="1" fillId="0" borderId="15"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9" xfId="0" applyFont="1" applyFill="1" applyBorder="1" applyAlignment="1">
      <alignment vertical="center"/>
    </xf>
    <xf numFmtId="0" fontId="0" fillId="0" borderId="7" xfId="0" applyFont="1" applyFill="1" applyBorder="1" applyAlignment="1">
      <alignment vertical="center"/>
    </xf>
    <xf numFmtId="0" fontId="1" fillId="0" borderId="0" xfId="0" applyFont="1" applyFill="1" applyBorder="1" applyAlignment="1">
      <alignment vertical="center"/>
    </xf>
    <xf numFmtId="0" fontId="3" fillId="0" borderId="0" xfId="0" applyFont="1" applyFill="1" applyBorder="1" applyAlignment="1">
      <alignment horizontal="center" vertical="center"/>
    </xf>
    <xf numFmtId="0" fontId="8" fillId="0" borderId="0" xfId="0" applyFont="1" applyFill="1" applyBorder="1" applyAlignment="1">
      <alignment vertical="center"/>
    </xf>
    <xf numFmtId="0" fontId="9"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0" applyFont="1" applyFill="1" applyBorder="1" applyAlignment="1">
      <alignment horizontal="center"/>
    </xf>
    <xf numFmtId="20" fontId="10" fillId="0" borderId="0" xfId="0" applyNumberFormat="1" applyFont="1" applyFill="1" applyBorder="1" applyAlignment="1">
      <alignment horizontal="center" vertical="center"/>
    </xf>
    <xf numFmtId="0" fontId="9" fillId="0" borderId="0" xfId="0" applyFont="1" applyFill="1" applyBorder="1" applyAlignment="1">
      <alignment vertical="center"/>
    </xf>
    <xf numFmtId="0" fontId="9" fillId="0" borderId="0" xfId="0" applyFont="1" applyFill="1" applyBorder="1" applyAlignment="1">
      <alignment horizontal="center" vertical="center" wrapText="1"/>
    </xf>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xf>
    <xf numFmtId="0" fontId="0" fillId="0" borderId="0" xfId="0" applyFont="1" applyFill="1" applyBorder="1" applyAlignment="1">
      <alignment horizontal="left" vertical="center" wrapText="1"/>
    </xf>
    <xf numFmtId="0" fontId="0" fillId="0" borderId="0" xfId="0" applyFont="1" applyFill="1" applyBorder="1" applyAlignment="1">
      <alignment horizontal="left" vertical="center"/>
    </xf>
    <xf numFmtId="0" fontId="1" fillId="0" borderId="0" xfId="0" applyFont="1" applyAlignment="1">
      <alignment horizontal="left" vertical="center"/>
    </xf>
    <xf numFmtId="14" fontId="0" fillId="0" borderId="0" xfId="0" applyNumberFormat="1">
      <alignment vertical="center"/>
    </xf>
    <xf numFmtId="49" fontId="0"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left" vertical="center"/>
    </xf>
    <xf numFmtId="0" fontId="0" fillId="0" borderId="0" xfId="0" applyFont="1" applyAlignment="1">
      <alignment vertical="center"/>
    </xf>
    <xf numFmtId="0" fontId="6" fillId="0" borderId="0" xfId="0" applyFont="1" applyFill="1" applyBorder="1" applyAlignment="1">
      <alignment vertical="center"/>
    </xf>
    <xf numFmtId="0" fontId="11" fillId="0" borderId="0" xfId="0" applyFont="1">
      <alignment vertical="center"/>
    </xf>
    <xf numFmtId="0" fontId="2" fillId="0" borderId="0" xfId="0" applyFont="1" applyAlignment="1">
      <alignment vertical="center"/>
    </xf>
    <xf numFmtId="0" fontId="2" fillId="0" borderId="0" xfId="0" applyNumberFormat="1" applyFont="1" applyAlignment="1">
      <alignment horizontal="center" vertical="center"/>
    </xf>
    <xf numFmtId="0" fontId="2" fillId="0" borderId="0" xfId="0" applyNumberFormat="1" applyFont="1" applyAlignment="1">
      <alignment horizontal="left" vertical="center" wrapText="1"/>
    </xf>
    <xf numFmtId="0" fontId="11" fillId="0" borderId="0" xfId="0" applyFont="1" applyAlignment="1">
      <alignment horizontal="center" vertical="center"/>
    </xf>
    <xf numFmtId="0" fontId="11" fillId="0" borderId="0" xfId="0" applyNumberFormat="1" applyFont="1" applyAlignment="1">
      <alignment horizontal="left" vertical="center" wrapText="1"/>
    </xf>
    <xf numFmtId="14" fontId="2" fillId="0" borderId="0" xfId="0" applyNumberFormat="1" applyFont="1" applyAlignment="1">
      <alignment horizontal="center" vertical="center"/>
    </xf>
    <xf numFmtId="0" fontId="2" fillId="0" borderId="0" xfId="0" applyFont="1" applyAlignment="1">
      <alignment vertical="center" wrapText="1"/>
    </xf>
    <xf numFmtId="0" fontId="11" fillId="0" borderId="0" xfId="0" applyNumberFormat="1" applyFont="1" applyAlignment="1">
      <alignment horizontal="center" vertical="center"/>
    </xf>
    <xf numFmtId="0" fontId="11" fillId="0" borderId="0" xfId="0" applyNumberFormat="1" applyFont="1" applyAlignment="1">
      <alignment vertical="center" wrapText="1"/>
    </xf>
    <xf numFmtId="176" fontId="2" fillId="0" borderId="0" xfId="0" applyNumberFormat="1" applyFont="1">
      <alignment vertical="center"/>
    </xf>
    <xf numFmtId="0" fontId="2" fillId="0" borderId="0" xfId="0" applyFont="1" applyAlignment="1">
      <alignment horizontal="center" vertical="center" wrapText="1"/>
    </xf>
    <xf numFmtId="177" fontId="2" fillId="0" borderId="0" xfId="11" applyNumberFormat="1" applyFont="1">
      <alignment vertical="center"/>
    </xf>
    <xf numFmtId="14" fontId="11" fillId="0" borderId="0" xfId="0" applyNumberFormat="1" applyFont="1" applyAlignment="1">
      <alignment horizontal="center" vertical="center"/>
    </xf>
    <xf numFmtId="20" fontId="2" fillId="0" borderId="0" xfId="0" applyNumberFormat="1" applyFont="1" applyAlignment="1">
      <alignment horizontal="center" vertical="center"/>
    </xf>
    <xf numFmtId="0" fontId="2" fillId="0" borderId="0" xfId="0" applyNumberFormat="1" applyFont="1" applyAlignment="1">
      <alignment horizontal="center" vertical="center" wrapText="1"/>
    </xf>
    <xf numFmtId="49" fontId="2" fillId="0" borderId="0" xfId="0" applyNumberFormat="1" applyFont="1" applyAlignment="1">
      <alignment vertical="center"/>
    </xf>
    <xf numFmtId="0" fontId="12" fillId="0" borderId="0" xfId="0" applyNumberFormat="1" applyFont="1" applyAlignment="1">
      <alignment vertical="center" wrapText="1"/>
    </xf>
    <xf numFmtId="0" fontId="2" fillId="0" borderId="0" xfId="0" applyNumberFormat="1" applyFont="1" applyAlignment="1">
      <alignment horizontal="left" vertical="center"/>
    </xf>
    <xf numFmtId="0" fontId="2" fillId="0" borderId="0" xfId="0" applyNumberFormat="1" applyFont="1" applyAlignment="1">
      <alignment vertical="center"/>
    </xf>
    <xf numFmtId="20" fontId="2" fillId="0" borderId="0" xfId="0" applyNumberFormat="1" applyFont="1">
      <alignment vertical="center"/>
    </xf>
    <xf numFmtId="0" fontId="2" fillId="0" borderId="0" xfId="0" applyFont="1" applyFill="1" applyBorder="1" applyAlignment="1">
      <alignment vertical="center"/>
    </xf>
    <xf numFmtId="0" fontId="0" fillId="0" borderId="0" xfId="0" applyFont="1" applyAlignment="1">
      <alignment horizontal="center" vertical="center" wrapText="1"/>
    </xf>
    <xf numFmtId="0" fontId="0" fillId="0" borderId="0" xfId="0" applyFont="1" applyAlignment="1">
      <alignment vertical="center" wrapText="1"/>
    </xf>
    <xf numFmtId="0" fontId="1" fillId="4" borderId="0" xfId="0" applyFont="1" applyFill="1" applyAlignment="1">
      <alignment horizontal="center" vertical="center"/>
    </xf>
    <xf numFmtId="0" fontId="11" fillId="0" borderId="0" xfId="0" applyFont="1" applyAlignment="1">
      <alignment horizontal="center" vertical="center" wrapText="1"/>
    </xf>
    <xf numFmtId="0" fontId="11"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13" fillId="0" borderId="0" xfId="10" applyFont="1">
      <alignment vertical="center"/>
    </xf>
    <xf numFmtId="0" fontId="13" fillId="0" borderId="0" xfId="10">
      <alignment vertical="center"/>
    </xf>
    <xf numFmtId="0" fontId="14" fillId="0" borderId="0" xfId="10" applyFont="1">
      <alignment vertical="center"/>
    </xf>
    <xf numFmtId="0" fontId="0" fillId="0" borderId="0" xfId="0" applyAlignment="1">
      <alignment horizontal="justify" vertical="center"/>
    </xf>
    <xf numFmtId="0" fontId="15" fillId="0" borderId="0" xfId="0" applyFont="1">
      <alignment vertical="center"/>
    </xf>
    <xf numFmtId="0" fontId="4" fillId="0" borderId="0" xfId="0" applyFont="1" applyAlignment="1">
      <alignment horizontal="center" vertical="center"/>
    </xf>
    <xf numFmtId="0" fontId="4" fillId="0" borderId="0" xfId="0" applyFont="1" applyAlignment="1">
      <alignment horizontal="left" vertical="center"/>
    </xf>
    <xf numFmtId="58" fontId="2" fillId="0" borderId="0" xfId="0" applyNumberFormat="1" applyFont="1" applyAlignment="1">
      <alignment horizontal="center" vertical="center"/>
    </xf>
    <xf numFmtId="0" fontId="4" fillId="0" borderId="0" xfId="0" applyFont="1">
      <alignmen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 xfId="0" applyFont="1" applyBorder="1">
      <alignment vertical="center"/>
    </xf>
    <xf numFmtId="0" fontId="11"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0" xfId="0" applyFont="1" applyBorder="1" applyAlignment="1">
      <alignment horizontal="center" vertical="center"/>
    </xf>
    <xf numFmtId="14" fontId="2" fillId="0" borderId="1" xfId="0" applyNumberFormat="1" applyFont="1" applyBorder="1" applyAlignment="1">
      <alignment horizontal="center" vertical="center" wrapText="1"/>
    </xf>
    <xf numFmtId="14" fontId="2" fillId="0" borderId="13" xfId="0" applyNumberFormat="1" applyFont="1" applyBorder="1" applyAlignment="1">
      <alignment horizontal="center" vertical="center"/>
    </xf>
    <xf numFmtId="14" fontId="2" fillId="0" borderId="1" xfId="0" applyNumberFormat="1" applyFont="1" applyBorder="1" applyAlignment="1">
      <alignment horizontal="center" vertical="center"/>
    </xf>
    <xf numFmtId="49" fontId="0" fillId="0" borderId="0" xfId="0" applyNumberFormat="1" applyFill="1">
      <alignment vertical="center"/>
    </xf>
    <xf numFmtId="0" fontId="0" fillId="0" borderId="0" xfId="0" applyNumberFormat="1" applyFill="1" applyAlignment="1">
      <alignment vertical="center" wrapText="1"/>
    </xf>
    <xf numFmtId="0" fontId="16" fillId="0" borderId="0" xfId="0" applyFont="1" applyFill="1" applyAlignment="1">
      <alignment horizontal="center"/>
    </xf>
    <xf numFmtId="0" fontId="16" fillId="0" borderId="0" xfId="0" applyFont="1" applyFill="1" applyAlignment="1"/>
    <xf numFmtId="0" fontId="3" fillId="0" borderId="0" xfId="0" applyFont="1" applyFill="1" applyAlignment="1">
      <alignment horizontal="center"/>
    </xf>
    <xf numFmtId="0" fontId="17" fillId="0" borderId="0" xfId="0" applyFont="1" applyFill="1" applyAlignment="1">
      <alignment horizontal="center"/>
    </xf>
    <xf numFmtId="0" fontId="18" fillId="0" borderId="0" xfId="0" applyFont="1" applyFill="1" applyAlignment="1">
      <alignment horizontal="center"/>
    </xf>
    <xf numFmtId="0" fontId="2" fillId="0" borderId="0" xfId="0" applyFont="1" applyFill="1" applyAlignment="1">
      <alignment horizontal="center" vertical="center"/>
    </xf>
    <xf numFmtId="0" fontId="2" fillId="4" borderId="0" xfId="0" applyFont="1" applyFill="1" applyAlignment="1">
      <alignment horizontal="left"/>
    </xf>
    <xf numFmtId="0" fontId="2" fillId="4" borderId="0" xfId="0" applyFont="1" applyFill="1" applyBorder="1" applyAlignment="1">
      <alignment horizontal="left" vertical="center"/>
    </xf>
    <xf numFmtId="0" fontId="2" fillId="4" borderId="0" xfId="0" applyFont="1" applyFill="1" applyAlignment="1">
      <alignment horizontal="left" vertical="center"/>
    </xf>
    <xf numFmtId="0" fontId="2" fillId="4" borderId="0" xfId="0" applyFont="1" applyFill="1" applyAlignment="1"/>
    <xf numFmtId="0" fontId="2" fillId="0" borderId="0" xfId="0" applyFont="1" applyFill="1" applyAlignment="1">
      <alignment wrapText="1"/>
    </xf>
    <xf numFmtId="0" fontId="2" fillId="0" borderId="0" xfId="0" applyFont="1" applyFill="1" applyAlignment="1">
      <alignment horizontal="left"/>
    </xf>
    <xf numFmtId="0" fontId="2" fillId="0" borderId="0" xfId="0" applyFont="1" applyFill="1" applyAlignment="1"/>
    <xf numFmtId="0" fontId="2" fillId="5" borderId="0" xfId="0" applyFont="1" applyFill="1" applyAlignment="1">
      <alignment horizontal="left"/>
    </xf>
    <xf numFmtId="0" fontId="2" fillId="5" borderId="0" xfId="0" applyFont="1" applyFill="1" applyAlignment="1"/>
    <xf numFmtId="0" fontId="12" fillId="0" borderId="0" xfId="0" applyFont="1" applyFill="1" applyAlignment="1">
      <alignment horizontal="left" vertical="center"/>
    </xf>
    <xf numFmtId="0" fontId="16" fillId="0" borderId="0" xfId="0" applyFont="1" applyFill="1" applyAlignment="1">
      <alignment horizontal="center" vertical="center"/>
    </xf>
    <xf numFmtId="0" fontId="12" fillId="0" borderId="0" xfId="0" applyFont="1" applyFill="1" applyAlignment="1">
      <alignment horizontal="left"/>
    </xf>
    <xf numFmtId="0" fontId="16" fillId="4" borderId="0" xfId="0" applyFont="1" applyFill="1" applyAlignment="1">
      <alignment horizontal="left"/>
    </xf>
    <xf numFmtId="0" fontId="19" fillId="0" borderId="0" xfId="0" applyFont="1" applyFill="1" applyAlignment="1"/>
    <xf numFmtId="0" fontId="20" fillId="0" borderId="0" xfId="0" applyFont="1" applyFill="1" applyAlignment="1"/>
    <xf numFmtId="0" fontId="9" fillId="0" borderId="0" xfId="0" applyFont="1" applyFill="1" applyAlignment="1">
      <alignment horizontal="center" vertical="center"/>
    </xf>
    <xf numFmtId="0" fontId="9" fillId="0" borderId="0" xfId="0" applyFont="1" applyFill="1" applyAlignment="1">
      <alignment horizontal="center"/>
    </xf>
    <xf numFmtId="0" fontId="9" fillId="0" borderId="0" xfId="0" applyFont="1" applyFill="1" applyAlignment="1"/>
    <xf numFmtId="0" fontId="0" fillId="0" borderId="0" xfId="0" applyFont="1" applyFill="1" applyAlignment="1">
      <alignment wrapText="1"/>
    </xf>
    <xf numFmtId="0" fontId="0" fillId="0" borderId="0" xfId="0" applyFont="1" applyFill="1" applyAlignment="1"/>
    <xf numFmtId="0" fontId="0" fillId="6" borderId="0" xfId="0" applyFont="1" applyFill="1" applyAlignment="1"/>
    <xf numFmtId="0" fontId="0" fillId="6" borderId="0" xfId="0" applyFont="1" applyFill="1" applyAlignment="1">
      <alignment wrapText="1"/>
    </xf>
    <xf numFmtId="0" fontId="21" fillId="0" borderId="0" xfId="0" applyFont="1" applyFill="1" applyAlignment="1">
      <alignment horizontal="center" vertical="center"/>
    </xf>
    <xf numFmtId="0" fontId="16" fillId="7" borderId="0" xfId="0" applyFont="1" applyFill="1" applyAlignment="1">
      <alignment horizontal="center" vertical="center"/>
    </xf>
    <xf numFmtId="0" fontId="22" fillId="0" borderId="0" xfId="0" applyFont="1" applyFill="1" applyAlignment="1">
      <alignment horizontal="center" vertical="center"/>
    </xf>
    <xf numFmtId="0" fontId="1"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horizontal="center" vertical="center" wrapText="1"/>
    </xf>
    <xf numFmtId="0" fontId="16" fillId="0" borderId="0" xfId="0" applyFont="1" applyFill="1" applyAlignment="1">
      <alignment horizontal="center" vertical="center" wrapText="1"/>
    </xf>
    <xf numFmtId="0" fontId="2" fillId="7" borderId="0" xfId="0" applyFont="1" applyFill="1" applyAlignment="1">
      <alignment horizontal="center" vertical="center"/>
    </xf>
    <xf numFmtId="0" fontId="12" fillId="7" borderId="0" xfId="0" applyFont="1" applyFill="1" applyAlignment="1">
      <alignment horizontal="center" vertical="center"/>
    </xf>
    <xf numFmtId="0" fontId="2" fillId="7" borderId="0" xfId="0" applyFont="1" applyFill="1" applyAlignment="1">
      <alignment horizontal="left" vertical="center"/>
    </xf>
    <xf numFmtId="0" fontId="12" fillId="0" borderId="0" xfId="0" applyFont="1" applyFill="1" applyAlignment="1">
      <alignment horizontal="center" vertical="center"/>
    </xf>
    <xf numFmtId="0" fontId="5" fillId="0" borderId="0" xfId="0" applyFont="1" applyFill="1" applyBorder="1" applyAlignment="1">
      <alignment horizontal="left" vertical="center"/>
    </xf>
    <xf numFmtId="0" fontId="5" fillId="0" borderId="0" xfId="0" applyFont="1" applyFill="1" applyAlignment="1">
      <alignment horizontal="center" vertical="center"/>
    </xf>
    <xf numFmtId="0" fontId="0" fillId="0" borderId="1" xfId="0" applyBorder="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ill>
        <patternFill patternType="solid">
          <fgColor indexed="10"/>
          <bgColor indexed="43"/>
        </patternFill>
      </fill>
    </dxf>
    <dxf>
      <fill>
        <patternFill patternType="solid">
          <fgColor indexed="10"/>
          <bgColor indexed="5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371475</xdr:colOff>
      <xdr:row>3</xdr:row>
      <xdr:rowOff>0</xdr:rowOff>
    </xdr:from>
    <xdr:to>
      <xdr:col>4</xdr:col>
      <xdr:colOff>523875</xdr:colOff>
      <xdr:row>5</xdr:row>
      <xdr:rowOff>0</xdr:rowOff>
    </xdr:to>
    <xdr:sp>
      <xdr:nvSpPr>
        <xdr:cNvPr id="57998" name="矩形 1"/>
        <xdr:cNvSpPr/>
      </xdr:nvSpPr>
      <xdr:spPr>
        <a:xfrm>
          <a:off x="2428875" y="579120"/>
          <a:ext cx="838200" cy="39624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开始计划</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371475</xdr:colOff>
      <xdr:row>7</xdr:row>
      <xdr:rowOff>0</xdr:rowOff>
    </xdr:from>
    <xdr:to>
      <xdr:col>4</xdr:col>
      <xdr:colOff>523875</xdr:colOff>
      <xdr:row>10</xdr:row>
      <xdr:rowOff>0</xdr:rowOff>
    </xdr:to>
    <xdr:sp>
      <xdr:nvSpPr>
        <xdr:cNvPr id="57999" name="矩形 2"/>
        <xdr:cNvSpPr/>
      </xdr:nvSpPr>
      <xdr:spPr>
        <a:xfrm>
          <a:off x="2428875" y="1371600"/>
          <a:ext cx="838200" cy="56388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执行计划</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361950</xdr:colOff>
      <xdr:row>12</xdr:row>
      <xdr:rowOff>0</xdr:rowOff>
    </xdr:from>
    <xdr:to>
      <xdr:col>4</xdr:col>
      <xdr:colOff>514350</xdr:colOff>
      <xdr:row>14</xdr:row>
      <xdr:rowOff>0</xdr:rowOff>
    </xdr:to>
    <xdr:sp>
      <xdr:nvSpPr>
        <xdr:cNvPr id="58000" name="矩形 3"/>
        <xdr:cNvSpPr/>
      </xdr:nvSpPr>
      <xdr:spPr>
        <a:xfrm>
          <a:off x="2419350" y="2331720"/>
          <a:ext cx="838200" cy="36576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计划完成</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5</xdr:col>
      <xdr:colOff>361950</xdr:colOff>
      <xdr:row>11</xdr:row>
      <xdr:rowOff>0</xdr:rowOff>
    </xdr:from>
    <xdr:to>
      <xdr:col>7</xdr:col>
      <xdr:colOff>47625</xdr:colOff>
      <xdr:row>14</xdr:row>
      <xdr:rowOff>0</xdr:rowOff>
    </xdr:to>
    <xdr:sp>
      <xdr:nvSpPr>
        <xdr:cNvPr id="58001" name="矩形 4"/>
        <xdr:cNvSpPr/>
      </xdr:nvSpPr>
      <xdr:spPr>
        <a:xfrm>
          <a:off x="3790950" y="2133600"/>
          <a:ext cx="1076325" cy="56388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创建</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1000">
              <a:solidFill>
                <a:srgbClr val="FFFFFF"/>
              </a:solidFill>
              <a:latin typeface="Calibri" panose="020F0502020204030204" charset="-122"/>
              <a:ea typeface="Calibri" panose="020F0502020204030204" charset="-122"/>
              <a:cs typeface="Calibri" panose="020F0502020204030204" charset="-122"/>
              <a:sym typeface="Calibri" panose="020F0502020204030204" charset="-122"/>
            </a:rPr>
            <a:t>TESTING</a:t>
          </a:r>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分支</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5</xdr:col>
      <xdr:colOff>476250</xdr:colOff>
      <xdr:row>16</xdr:row>
      <xdr:rowOff>0</xdr:rowOff>
    </xdr:from>
    <xdr:to>
      <xdr:col>6</xdr:col>
      <xdr:colOff>628650</xdr:colOff>
      <xdr:row>18</xdr:row>
      <xdr:rowOff>0</xdr:rowOff>
    </xdr:to>
    <xdr:sp>
      <xdr:nvSpPr>
        <xdr:cNvPr id="58002" name="矩形 5"/>
        <xdr:cNvSpPr/>
      </xdr:nvSpPr>
      <xdr:spPr>
        <a:xfrm>
          <a:off x="3905250" y="3093720"/>
          <a:ext cx="857250" cy="39624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修复回归</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5</xdr:col>
      <xdr:colOff>361950</xdr:colOff>
      <xdr:row>21</xdr:row>
      <xdr:rowOff>0</xdr:rowOff>
    </xdr:from>
    <xdr:to>
      <xdr:col>7</xdr:col>
      <xdr:colOff>28575</xdr:colOff>
      <xdr:row>22</xdr:row>
      <xdr:rowOff>0</xdr:rowOff>
    </xdr:to>
    <xdr:sp>
      <xdr:nvSpPr>
        <xdr:cNvPr id="58003" name="矩形 6"/>
        <xdr:cNvSpPr/>
      </xdr:nvSpPr>
      <xdr:spPr>
        <a:xfrm>
          <a:off x="3790950" y="4084320"/>
          <a:ext cx="1057275" cy="18288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测试回归完成</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7</xdr:col>
      <xdr:colOff>619125</xdr:colOff>
      <xdr:row>20</xdr:row>
      <xdr:rowOff>0</xdr:rowOff>
    </xdr:from>
    <xdr:to>
      <xdr:col>9</xdr:col>
      <xdr:colOff>200025</xdr:colOff>
      <xdr:row>23</xdr:row>
      <xdr:rowOff>0</xdr:rowOff>
    </xdr:to>
    <xdr:sp>
      <xdr:nvSpPr>
        <xdr:cNvPr id="58004" name="矩形 7"/>
        <xdr:cNvSpPr/>
      </xdr:nvSpPr>
      <xdr:spPr>
        <a:xfrm>
          <a:off x="5438775" y="3886200"/>
          <a:ext cx="952500" cy="56388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形成</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1000">
              <a:solidFill>
                <a:srgbClr val="FFFFFF"/>
              </a:solidFill>
              <a:latin typeface="Calibri" panose="020F0502020204030204" charset="-122"/>
              <a:ea typeface="Calibri" panose="020F0502020204030204" charset="-122"/>
              <a:cs typeface="Calibri" panose="020F0502020204030204" charset="-122"/>
              <a:sym typeface="Calibri" panose="020F0502020204030204" charset="-122"/>
            </a:rPr>
            <a:t>Release</a:t>
          </a:r>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包</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7</xdr:col>
      <xdr:colOff>676275</xdr:colOff>
      <xdr:row>24</xdr:row>
      <xdr:rowOff>0</xdr:rowOff>
    </xdr:from>
    <xdr:to>
      <xdr:col>9</xdr:col>
      <xdr:colOff>142875</xdr:colOff>
      <xdr:row>26</xdr:row>
      <xdr:rowOff>0</xdr:rowOff>
    </xdr:to>
    <xdr:sp>
      <xdr:nvSpPr>
        <xdr:cNvPr id="58005" name="矩形 8"/>
        <xdr:cNvSpPr/>
      </xdr:nvSpPr>
      <xdr:spPr>
        <a:xfrm>
          <a:off x="5495925" y="4632960"/>
          <a:ext cx="838200" cy="39624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发布</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7</xdr:col>
      <xdr:colOff>676275</xdr:colOff>
      <xdr:row>28</xdr:row>
      <xdr:rowOff>0</xdr:rowOff>
    </xdr:from>
    <xdr:to>
      <xdr:col>9</xdr:col>
      <xdr:colOff>142875</xdr:colOff>
      <xdr:row>30</xdr:row>
      <xdr:rowOff>0</xdr:rowOff>
    </xdr:to>
    <xdr:sp>
      <xdr:nvSpPr>
        <xdr:cNvPr id="58006" name="矩形 9"/>
        <xdr:cNvSpPr/>
      </xdr:nvSpPr>
      <xdr:spPr>
        <a:xfrm>
          <a:off x="5495925" y="5425440"/>
          <a:ext cx="838200" cy="39624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缺陷确认</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5</xdr:col>
      <xdr:colOff>352425</xdr:colOff>
      <xdr:row>27</xdr:row>
      <xdr:rowOff>0</xdr:rowOff>
    </xdr:from>
    <xdr:to>
      <xdr:col>7</xdr:col>
      <xdr:colOff>9525</xdr:colOff>
      <xdr:row>30</xdr:row>
      <xdr:rowOff>0</xdr:rowOff>
    </xdr:to>
    <xdr:sp>
      <xdr:nvSpPr>
        <xdr:cNvPr id="58007" name="矩形 10"/>
        <xdr:cNvSpPr/>
      </xdr:nvSpPr>
      <xdr:spPr>
        <a:xfrm>
          <a:off x="3781425" y="5227320"/>
          <a:ext cx="1047750" cy="59436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创建</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1000">
              <a:solidFill>
                <a:srgbClr val="FFFFFF"/>
              </a:solidFill>
              <a:latin typeface="Calibri" panose="020F0502020204030204" charset="-122"/>
              <a:ea typeface="Calibri" panose="020F0502020204030204" charset="-122"/>
              <a:cs typeface="Calibri" panose="020F0502020204030204" charset="-122"/>
              <a:sym typeface="Calibri" panose="020F0502020204030204" charset="-122"/>
            </a:rPr>
            <a:t>FIXBUG</a:t>
          </a:r>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分支</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5</xdr:col>
      <xdr:colOff>447675</xdr:colOff>
      <xdr:row>32</xdr:row>
      <xdr:rowOff>0</xdr:rowOff>
    </xdr:from>
    <xdr:to>
      <xdr:col>6</xdr:col>
      <xdr:colOff>600075</xdr:colOff>
      <xdr:row>34</xdr:row>
      <xdr:rowOff>0</xdr:rowOff>
    </xdr:to>
    <xdr:sp>
      <xdr:nvSpPr>
        <xdr:cNvPr id="58008" name="矩形 11"/>
        <xdr:cNvSpPr/>
      </xdr:nvSpPr>
      <xdr:spPr>
        <a:xfrm>
          <a:off x="3876675" y="6217920"/>
          <a:ext cx="857250" cy="39624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修复回归</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7</xdr:col>
      <xdr:colOff>609600</xdr:colOff>
      <xdr:row>35</xdr:row>
      <xdr:rowOff>0</xdr:rowOff>
    </xdr:from>
    <xdr:to>
      <xdr:col>9</xdr:col>
      <xdr:colOff>76200</xdr:colOff>
      <xdr:row>38</xdr:row>
      <xdr:rowOff>0</xdr:rowOff>
    </xdr:to>
    <xdr:sp>
      <xdr:nvSpPr>
        <xdr:cNvPr id="58009" name="矩形 12"/>
        <xdr:cNvSpPr/>
      </xdr:nvSpPr>
      <xdr:spPr>
        <a:xfrm>
          <a:off x="5429250" y="6812280"/>
          <a:ext cx="838200" cy="59436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形成新</a:t>
          </a:r>
          <a:r>
            <a:rPr lang="zh-CN" altLang="en-US" sz="1000">
              <a:solidFill>
                <a:srgbClr val="FFFFFF"/>
              </a:solidFill>
              <a:latin typeface="Calibri" panose="020F0502020204030204" charset="-122"/>
              <a:ea typeface="Calibri" panose="020F0502020204030204" charset="-122"/>
              <a:cs typeface="Calibri" panose="020F0502020204030204" charset="-122"/>
              <a:sym typeface="Calibri" panose="020F0502020204030204" charset="-122"/>
            </a:rPr>
            <a:t>Release</a:t>
          </a:r>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包</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0</xdr:col>
      <xdr:colOff>200025</xdr:colOff>
      <xdr:row>2</xdr:row>
      <xdr:rowOff>0</xdr:rowOff>
    </xdr:from>
    <xdr:to>
      <xdr:col>2</xdr:col>
      <xdr:colOff>285750</xdr:colOff>
      <xdr:row>5</xdr:row>
      <xdr:rowOff>0</xdr:rowOff>
    </xdr:to>
    <xdr:sp>
      <xdr:nvSpPr>
        <xdr:cNvPr id="58010" name="线形标注 1(带强调线) 13"/>
        <xdr:cNvSpPr/>
      </xdr:nvSpPr>
      <xdr:spPr>
        <a:xfrm>
          <a:off x="200025" y="381000"/>
          <a:ext cx="1457325" cy="594360"/>
        </a:xfrm>
        <a:prstGeom prst="accentCallout1">
          <a:avLst>
            <a:gd name="adj1" fmla="val 67662"/>
            <a:gd name="adj2" fmla="val 109106"/>
            <a:gd name="adj3" fmla="val 67199"/>
            <a:gd name="adj4" fmla="val 152532"/>
          </a:avLst>
        </a:prstGeom>
        <a:no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1</a:t>
          </a:r>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、确认迭代周期、需求；</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2</a:t>
          </a:r>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、生成迭代，关联需求；</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3</a:t>
          </a:r>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、合并分支代码到主干</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3</xdr:col>
      <xdr:colOff>323850</xdr:colOff>
      <xdr:row>1</xdr:row>
      <xdr:rowOff>0</xdr:rowOff>
    </xdr:from>
    <xdr:to>
      <xdr:col>5</xdr:col>
      <xdr:colOff>9525</xdr:colOff>
      <xdr:row>1</xdr:row>
      <xdr:rowOff>0</xdr:rowOff>
    </xdr:to>
    <xdr:sp>
      <xdr:nvSpPr>
        <xdr:cNvPr id="58011" name="直接连接符 14"/>
        <xdr:cNvSpPr/>
      </xdr:nvSpPr>
      <xdr:spPr>
        <a:xfrm>
          <a:off x="2381250" y="182880"/>
          <a:ext cx="1057275" cy="0"/>
        </a:xfrm>
        <a:prstGeom prst="line">
          <a:avLst/>
        </a:prstGeom>
        <a:ln w="25400" cap="flat" cmpd="sng">
          <a:solidFill>
            <a:srgbClr val="5B9BD5"/>
          </a:solidFill>
          <a:prstDash val="solid"/>
          <a:headEnd type="none" w="med" len="med"/>
          <a:tailEnd type="none" w="med" len="med"/>
        </a:ln>
      </xdr:spPr>
    </xdr:sp>
    <xdr:clientData/>
  </xdr:twoCellAnchor>
  <xdr:twoCellAnchor>
    <xdr:from>
      <xdr:col>5</xdr:col>
      <xdr:colOff>361950</xdr:colOff>
      <xdr:row>1</xdr:row>
      <xdr:rowOff>0</xdr:rowOff>
    </xdr:from>
    <xdr:to>
      <xdr:col>7</xdr:col>
      <xdr:colOff>47625</xdr:colOff>
      <xdr:row>1</xdr:row>
      <xdr:rowOff>0</xdr:rowOff>
    </xdr:to>
    <xdr:sp>
      <xdr:nvSpPr>
        <xdr:cNvPr id="58012" name="直接连接符 15"/>
        <xdr:cNvSpPr/>
      </xdr:nvSpPr>
      <xdr:spPr>
        <a:xfrm>
          <a:off x="3790950" y="182880"/>
          <a:ext cx="1076325" cy="0"/>
        </a:xfrm>
        <a:prstGeom prst="line">
          <a:avLst/>
        </a:prstGeom>
        <a:ln w="25400" cap="flat" cmpd="sng">
          <a:solidFill>
            <a:srgbClr val="5B9BD5"/>
          </a:solidFill>
          <a:prstDash val="solid"/>
          <a:headEnd type="none" w="med" len="med"/>
          <a:tailEnd type="none" w="med" len="med"/>
        </a:ln>
      </xdr:spPr>
    </xdr:sp>
    <xdr:clientData/>
  </xdr:twoCellAnchor>
  <xdr:twoCellAnchor>
    <xdr:from>
      <xdr:col>7</xdr:col>
      <xdr:colOff>590550</xdr:colOff>
      <xdr:row>1</xdr:row>
      <xdr:rowOff>0</xdr:rowOff>
    </xdr:from>
    <xdr:to>
      <xdr:col>9</xdr:col>
      <xdr:colOff>276225</xdr:colOff>
      <xdr:row>1</xdr:row>
      <xdr:rowOff>0</xdr:rowOff>
    </xdr:to>
    <xdr:sp>
      <xdr:nvSpPr>
        <xdr:cNvPr id="58013" name="直接连接符 16"/>
        <xdr:cNvSpPr/>
      </xdr:nvSpPr>
      <xdr:spPr>
        <a:xfrm>
          <a:off x="5410200" y="182880"/>
          <a:ext cx="1057275" cy="0"/>
        </a:xfrm>
        <a:prstGeom prst="line">
          <a:avLst/>
        </a:prstGeom>
        <a:ln w="25400" cap="flat" cmpd="sng">
          <a:solidFill>
            <a:srgbClr val="5B9BD5"/>
          </a:solidFill>
          <a:prstDash val="solid"/>
          <a:headEnd type="none" w="med" len="med"/>
          <a:tailEnd type="none" w="med" len="med"/>
        </a:ln>
      </xdr:spPr>
    </xdr:sp>
    <xdr:clientData/>
  </xdr:twoCellAnchor>
  <xdr:twoCellAnchor>
    <xdr:from>
      <xdr:col>0</xdr:col>
      <xdr:colOff>514350</xdr:colOff>
      <xdr:row>11</xdr:row>
      <xdr:rowOff>0</xdr:rowOff>
    </xdr:from>
    <xdr:to>
      <xdr:col>2</xdr:col>
      <xdr:colOff>295275</xdr:colOff>
      <xdr:row>14</xdr:row>
      <xdr:rowOff>0</xdr:rowOff>
    </xdr:to>
    <xdr:sp>
      <xdr:nvSpPr>
        <xdr:cNvPr id="58014" name="线形标注 1(带强调线) 18"/>
        <xdr:cNvSpPr/>
      </xdr:nvSpPr>
      <xdr:spPr>
        <a:xfrm>
          <a:off x="514350" y="2133600"/>
          <a:ext cx="1152525" cy="563880"/>
        </a:xfrm>
        <a:prstGeom prst="accentCallout1">
          <a:avLst>
            <a:gd name="adj1" fmla="val 60250"/>
            <a:gd name="adj2" fmla="val 110213"/>
            <a:gd name="adj3" fmla="val 61509"/>
            <a:gd name="adj4" fmla="val 164088"/>
          </a:avLst>
        </a:prstGeom>
        <a:no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测试、技术经理确认开发完成</a:t>
          </a:r>
          <a:endParaRPr lang="zh-CN" altLang="en-US" sz="9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5</xdr:col>
      <xdr:colOff>352425</xdr:colOff>
      <xdr:row>36</xdr:row>
      <xdr:rowOff>0</xdr:rowOff>
    </xdr:from>
    <xdr:to>
      <xdr:col>7</xdr:col>
      <xdr:colOff>19050</xdr:colOff>
      <xdr:row>38</xdr:row>
      <xdr:rowOff>0</xdr:rowOff>
    </xdr:to>
    <xdr:sp>
      <xdr:nvSpPr>
        <xdr:cNvPr id="58015" name="矩形 19"/>
        <xdr:cNvSpPr/>
      </xdr:nvSpPr>
      <xdr:spPr>
        <a:xfrm>
          <a:off x="3781425" y="7010400"/>
          <a:ext cx="1057275" cy="396240"/>
        </a:xfrm>
        <a:prstGeom prst="rect">
          <a:avLst/>
        </a:prstGeom>
        <a:solidFill>
          <a:srgbClr val="5B9BD5"/>
        </a:solid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测试回归完成</a:t>
          </a:r>
          <a:endParaRPr lang="zh-CN" altLang="en-US" sz="1000">
            <a:solidFill>
              <a:srgbClr val="FFFFFF"/>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8</xdr:col>
      <xdr:colOff>85725</xdr:colOff>
      <xdr:row>11</xdr:row>
      <xdr:rowOff>0</xdr:rowOff>
    </xdr:from>
    <xdr:to>
      <xdr:col>10</xdr:col>
      <xdr:colOff>381000</xdr:colOff>
      <xdr:row>14</xdr:row>
      <xdr:rowOff>0</xdr:rowOff>
    </xdr:to>
    <xdr:sp>
      <xdr:nvSpPr>
        <xdr:cNvPr id="58016" name="线形标注 1(带强调线) 20"/>
        <xdr:cNvSpPr/>
      </xdr:nvSpPr>
      <xdr:spPr>
        <a:xfrm flipH="1">
          <a:off x="5591175" y="2133600"/>
          <a:ext cx="1666875" cy="563880"/>
        </a:xfrm>
        <a:prstGeom prst="accentCallout1">
          <a:avLst>
            <a:gd name="adj1" fmla="val 58366"/>
            <a:gd name="adj2" fmla="val 110222"/>
            <a:gd name="adj3" fmla="val 57736"/>
            <a:gd name="adj4" fmla="val 142759"/>
          </a:avLst>
        </a:prstGeom>
        <a:no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1、创建TESTING代码分支；</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2、禅道生成Testing版本；</a:t>
          </a:r>
          <a:endPar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endParaRPr>
        </a:p>
      </xdr:txBody>
    </xdr:sp>
    <xdr:clientData/>
  </xdr:twoCellAnchor>
  <xdr:twoCellAnchor>
    <xdr:from>
      <xdr:col>10</xdr:col>
      <xdr:colOff>114300</xdr:colOff>
      <xdr:row>20</xdr:row>
      <xdr:rowOff>0</xdr:rowOff>
    </xdr:from>
    <xdr:to>
      <xdr:col>13</xdr:col>
      <xdr:colOff>533400</xdr:colOff>
      <xdr:row>23</xdr:row>
      <xdr:rowOff>0</xdr:rowOff>
    </xdr:to>
    <xdr:sp>
      <xdr:nvSpPr>
        <xdr:cNvPr id="58017" name="线形标注 1(带强调线) 21"/>
        <xdr:cNvSpPr/>
      </xdr:nvSpPr>
      <xdr:spPr>
        <a:xfrm flipH="1">
          <a:off x="6991350" y="3886200"/>
          <a:ext cx="2476500" cy="563880"/>
        </a:xfrm>
        <a:prstGeom prst="accentCallout1">
          <a:avLst>
            <a:gd name="adj1" fmla="val 56773"/>
            <a:gd name="adj2" fmla="val 104856"/>
            <a:gd name="adj3" fmla="val 57741"/>
            <a:gd name="adj4" fmla="val 123190"/>
          </a:avLst>
        </a:prstGeom>
        <a:noFill/>
        <a:ln w="12700" cap="flat" cmpd="sng">
          <a:solidFill>
            <a:srgbClr val="41719C"/>
          </a:solidFill>
          <a:prstDash val="solid"/>
          <a:miter/>
          <a:headEnd type="none" w="med" len="med"/>
          <a:tailEnd type="none" w="med" len="med"/>
        </a:ln>
      </xdr:spPr>
      <xdr:txBody>
        <a:bodyPr vertOverflow="clip" vert="horz" wrap="square" lIns="27432" tIns="18288" rIns="0" bIns="0" anchor="t" upright="1"/>
        <a:lstStyle/>
        <a:p>
          <a:pPr algn="l" rtl="0"/>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1、发布RELEASE版本包</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2、禅道生成release版本；</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a:p>
          <a:pPr algn="l"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 </a:t>
          </a:r>
          <a:r>
            <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rPr>
            <a:t>3、导出需求、bug，生成版本功能清单【*】</a:t>
          </a:r>
          <a:endParaRPr lang="zh-CN" altLang="en-US" sz="900">
            <a:solidFill>
              <a:srgbClr val="000000"/>
            </a:solidFill>
            <a:latin typeface="Calibri" panose="020F0502020204030204" charset="-122"/>
            <a:ea typeface="Calibri" panose="020F0502020204030204" charset="-122"/>
            <a:cs typeface="Calibri" panose="020F0502020204030204" charset="-122"/>
            <a:sym typeface="Calibri" panose="020F0502020204030204" charset="-122"/>
          </a:endParaRPr>
        </a:p>
      </xdr:txBody>
    </xdr:sp>
    <xdr:clientData/>
  </xdr:twoCellAnchor>
  <xdr:twoCellAnchor>
    <xdr:from>
      <xdr:col>4</xdr:col>
      <xdr:colOff>104775</xdr:colOff>
      <xdr:row>5</xdr:row>
      <xdr:rowOff>0</xdr:rowOff>
    </xdr:from>
    <xdr:to>
      <xdr:col>4</xdr:col>
      <xdr:colOff>114300</xdr:colOff>
      <xdr:row>7</xdr:row>
      <xdr:rowOff>0</xdr:rowOff>
    </xdr:to>
    <xdr:cxnSp>
      <xdr:nvCxnSpPr>
        <xdr:cNvPr id="58018" name="直接箭头连接符 22"/>
        <xdr:cNvCxnSpPr/>
      </xdr:nvCxnSpPr>
      <xdr:spPr>
        <a:xfrm>
          <a:off x="2847975" y="975360"/>
          <a:ext cx="9525" cy="39624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4</xdr:col>
      <xdr:colOff>95250</xdr:colOff>
      <xdr:row>10</xdr:row>
      <xdr:rowOff>0</xdr:rowOff>
    </xdr:from>
    <xdr:to>
      <xdr:col>4</xdr:col>
      <xdr:colOff>104775</xdr:colOff>
      <xdr:row>12</xdr:row>
      <xdr:rowOff>0</xdr:rowOff>
    </xdr:to>
    <xdr:cxnSp>
      <xdr:nvCxnSpPr>
        <xdr:cNvPr id="58019" name="直接箭头连接符 23"/>
        <xdr:cNvCxnSpPr/>
      </xdr:nvCxnSpPr>
      <xdr:spPr>
        <a:xfrm flipH="1">
          <a:off x="2838450" y="1935480"/>
          <a:ext cx="9525" cy="39624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4</xdr:col>
      <xdr:colOff>514350</xdr:colOff>
      <xdr:row>13</xdr:row>
      <xdr:rowOff>0</xdr:rowOff>
    </xdr:from>
    <xdr:to>
      <xdr:col>5</xdr:col>
      <xdr:colOff>361950</xdr:colOff>
      <xdr:row>13</xdr:row>
      <xdr:rowOff>0</xdr:rowOff>
    </xdr:to>
    <xdr:cxnSp>
      <xdr:nvCxnSpPr>
        <xdr:cNvPr id="58020" name="直接箭头连接符 24"/>
        <xdr:cNvCxnSpPr/>
      </xdr:nvCxnSpPr>
      <xdr:spPr>
        <a:xfrm>
          <a:off x="3257550" y="2514600"/>
          <a:ext cx="533400" cy="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6</xdr:col>
      <xdr:colOff>209550</xdr:colOff>
      <xdr:row>14</xdr:row>
      <xdr:rowOff>0</xdr:rowOff>
    </xdr:from>
    <xdr:to>
      <xdr:col>6</xdr:col>
      <xdr:colOff>219075</xdr:colOff>
      <xdr:row>16</xdr:row>
      <xdr:rowOff>0</xdr:rowOff>
    </xdr:to>
    <xdr:cxnSp>
      <xdr:nvCxnSpPr>
        <xdr:cNvPr id="58021" name="直接箭头连接符 25"/>
        <xdr:cNvCxnSpPr/>
      </xdr:nvCxnSpPr>
      <xdr:spPr>
        <a:xfrm flipH="1">
          <a:off x="4343400" y="2697480"/>
          <a:ext cx="9525" cy="39624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6</xdr:col>
      <xdr:colOff>190500</xdr:colOff>
      <xdr:row>18</xdr:row>
      <xdr:rowOff>0</xdr:rowOff>
    </xdr:from>
    <xdr:to>
      <xdr:col>6</xdr:col>
      <xdr:colOff>209550</xdr:colOff>
      <xdr:row>21</xdr:row>
      <xdr:rowOff>0</xdr:rowOff>
    </xdr:to>
    <xdr:cxnSp>
      <xdr:nvCxnSpPr>
        <xdr:cNvPr id="58022" name="直接箭头连接符 26"/>
        <xdr:cNvCxnSpPr/>
      </xdr:nvCxnSpPr>
      <xdr:spPr>
        <a:xfrm flipH="1">
          <a:off x="4324350" y="3489960"/>
          <a:ext cx="19050" cy="59436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7</xdr:col>
      <xdr:colOff>28575</xdr:colOff>
      <xdr:row>21</xdr:row>
      <xdr:rowOff>0</xdr:rowOff>
    </xdr:from>
    <xdr:to>
      <xdr:col>7</xdr:col>
      <xdr:colOff>619125</xdr:colOff>
      <xdr:row>21</xdr:row>
      <xdr:rowOff>0</xdr:rowOff>
    </xdr:to>
    <xdr:cxnSp>
      <xdr:nvCxnSpPr>
        <xdr:cNvPr id="58023" name="直接箭头连接符 27"/>
        <xdr:cNvCxnSpPr/>
      </xdr:nvCxnSpPr>
      <xdr:spPr>
        <a:xfrm flipV="1">
          <a:off x="4848225" y="4084320"/>
          <a:ext cx="590550" cy="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8</xdr:col>
      <xdr:colOff>409575</xdr:colOff>
      <xdr:row>23</xdr:row>
      <xdr:rowOff>0</xdr:rowOff>
    </xdr:from>
    <xdr:to>
      <xdr:col>8</xdr:col>
      <xdr:colOff>419100</xdr:colOff>
      <xdr:row>24</xdr:row>
      <xdr:rowOff>0</xdr:rowOff>
    </xdr:to>
    <xdr:cxnSp>
      <xdr:nvCxnSpPr>
        <xdr:cNvPr id="58024" name="直接箭头连接符 28"/>
        <xdr:cNvCxnSpPr/>
      </xdr:nvCxnSpPr>
      <xdr:spPr>
        <a:xfrm>
          <a:off x="5915025" y="4450080"/>
          <a:ext cx="9525" cy="18288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8</xdr:col>
      <xdr:colOff>409575</xdr:colOff>
      <xdr:row>26</xdr:row>
      <xdr:rowOff>0</xdr:rowOff>
    </xdr:from>
    <xdr:to>
      <xdr:col>8</xdr:col>
      <xdr:colOff>419100</xdr:colOff>
      <xdr:row>28</xdr:row>
      <xdr:rowOff>0</xdr:rowOff>
    </xdr:to>
    <xdr:cxnSp>
      <xdr:nvCxnSpPr>
        <xdr:cNvPr id="58025" name="直接箭头连接符 29"/>
        <xdr:cNvCxnSpPr/>
      </xdr:nvCxnSpPr>
      <xdr:spPr>
        <a:xfrm flipH="1">
          <a:off x="5915025" y="5029200"/>
          <a:ext cx="9525" cy="39624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7</xdr:col>
      <xdr:colOff>9525</xdr:colOff>
      <xdr:row>29</xdr:row>
      <xdr:rowOff>0</xdr:rowOff>
    </xdr:from>
    <xdr:to>
      <xdr:col>7</xdr:col>
      <xdr:colOff>676275</xdr:colOff>
      <xdr:row>29</xdr:row>
      <xdr:rowOff>0</xdr:rowOff>
    </xdr:to>
    <xdr:cxnSp>
      <xdr:nvCxnSpPr>
        <xdr:cNvPr id="58026" name="直接箭头连接符 30"/>
        <xdr:cNvCxnSpPr/>
      </xdr:nvCxnSpPr>
      <xdr:spPr>
        <a:xfrm flipH="1">
          <a:off x="4829175" y="5623560"/>
          <a:ext cx="666750" cy="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6</xdr:col>
      <xdr:colOff>180975</xdr:colOff>
      <xdr:row>30</xdr:row>
      <xdr:rowOff>0</xdr:rowOff>
    </xdr:from>
    <xdr:to>
      <xdr:col>6</xdr:col>
      <xdr:colOff>190500</xdr:colOff>
      <xdr:row>32</xdr:row>
      <xdr:rowOff>0</xdr:rowOff>
    </xdr:to>
    <xdr:cxnSp>
      <xdr:nvCxnSpPr>
        <xdr:cNvPr id="58027" name="直接箭头连接符 31"/>
        <xdr:cNvCxnSpPr/>
      </xdr:nvCxnSpPr>
      <xdr:spPr>
        <a:xfrm>
          <a:off x="4314825" y="5821680"/>
          <a:ext cx="9525" cy="39624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6</xdr:col>
      <xdr:colOff>180975</xdr:colOff>
      <xdr:row>34</xdr:row>
      <xdr:rowOff>0</xdr:rowOff>
    </xdr:from>
    <xdr:to>
      <xdr:col>6</xdr:col>
      <xdr:colOff>190500</xdr:colOff>
      <xdr:row>36</xdr:row>
      <xdr:rowOff>0</xdr:rowOff>
    </xdr:to>
    <xdr:cxnSp>
      <xdr:nvCxnSpPr>
        <xdr:cNvPr id="58028" name="直接箭头连接符 32"/>
        <xdr:cNvCxnSpPr/>
      </xdr:nvCxnSpPr>
      <xdr:spPr>
        <a:xfrm flipH="1">
          <a:off x="4314825" y="6614160"/>
          <a:ext cx="9525" cy="39624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7</xdr:col>
      <xdr:colOff>19050</xdr:colOff>
      <xdr:row>37</xdr:row>
      <xdr:rowOff>0</xdr:rowOff>
    </xdr:from>
    <xdr:to>
      <xdr:col>7</xdr:col>
      <xdr:colOff>609600</xdr:colOff>
      <xdr:row>37</xdr:row>
      <xdr:rowOff>0</xdr:rowOff>
    </xdr:to>
    <xdr:cxnSp>
      <xdr:nvCxnSpPr>
        <xdr:cNvPr id="58029" name="直接箭头连接符 33"/>
        <xdr:cNvCxnSpPr/>
      </xdr:nvCxnSpPr>
      <xdr:spPr>
        <a:xfrm>
          <a:off x="4838700" y="7208520"/>
          <a:ext cx="590550" cy="0"/>
        </a:xfrm>
        <a:prstGeom prst="straightConnector1">
          <a:avLst/>
        </a:prstGeom>
        <a:ln w="6350" cap="flat" cmpd="sng">
          <a:solidFill>
            <a:srgbClr val="5B9BD5"/>
          </a:solidFill>
          <a:prstDash val="solid"/>
          <a:headEnd type="none" w="med" len="med"/>
          <a:tailEnd type="arrow" w="med" len="med"/>
        </a:ln>
      </xdr:spPr>
    </xdr:cxnSp>
    <xdr:clientData/>
  </xdr:twoCellAnchor>
  <xdr:twoCellAnchor>
    <xdr:from>
      <xdr:col>4</xdr:col>
      <xdr:colOff>571500</xdr:colOff>
      <xdr:row>7</xdr:row>
      <xdr:rowOff>0</xdr:rowOff>
    </xdr:from>
    <xdr:to>
      <xdr:col>5</xdr:col>
      <xdr:colOff>285750</xdr:colOff>
      <xdr:row>10</xdr:row>
      <xdr:rowOff>0</xdr:rowOff>
    </xdr:to>
    <xdr:sp>
      <xdr:nvSpPr>
        <xdr:cNvPr id="58030" name="左弧形箭头 34"/>
        <xdr:cNvSpPr/>
      </xdr:nvSpPr>
      <xdr:spPr>
        <a:xfrm rot="10800000">
          <a:off x="3314700" y="1371600"/>
          <a:ext cx="400050" cy="563880"/>
        </a:xfrm>
        <a:prstGeom prst="curvedRightArrow">
          <a:avLst>
            <a:gd name="adj1" fmla="val 25946"/>
            <a:gd name="adj2" fmla="val 51883"/>
            <a:gd name="adj3" fmla="val 25000"/>
          </a:avLst>
        </a:prstGeom>
        <a:solidFill>
          <a:srgbClr val="5B9BD5"/>
        </a:solidFill>
        <a:ln w="9525" cap="flat" cmpd="sng">
          <a:solidFill>
            <a:srgbClr val="5B9BD5"/>
          </a:solidFill>
          <a:prstDash val="solid"/>
          <a:miter/>
          <a:headEnd type="none" w="med" len="med"/>
          <a:tailEnd type="none" w="med" len="me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solidFill>
          <a:srgbClr val="FFFFFF"/>
        </a:solidFill>
        <a:ln w="9525" cap="flat" cmpd="sng" algn="ctr">
          <a:solidFill>
            <a:srgbClr val="000000"/>
          </a:solidFill>
          <a:prstDash val="solid"/>
          <a:miter lim="200000"/>
        </a:ln>
      </a:spPr>
      <a:bodyPr/>
      <a:lstStyle/>
    </a:spDef>
  </a:objectDefaults>
</a:theme>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5" Type="http://schemas.openxmlformats.org/officeDocument/2006/relationships/hyperlink" Target="mailto:sdi/SINObest@sdi1" TargetMode="External"/><Relationship Id="rId4" Type="http://schemas.openxmlformats.org/officeDocument/2006/relationships/hyperlink" Target="mailto:root/SINOBest@root2019,sdi/YN@sdi2019" TargetMode="External"/><Relationship Id="rId3" Type="http://schemas.openxmlformats.org/officeDocument/2006/relationships/hyperlink" Target="mailto:root/SINObest@root1" TargetMode="External"/><Relationship Id="rId2" Type="http://schemas.openxmlformats.org/officeDocument/2006/relationships/hyperlink" Target="http://192.168.13.49:8904/basic&#65288;root/abc1234&#65289;" TargetMode="External"/><Relationship Id="rId1" Type="http://schemas.openxmlformats.org/officeDocument/2006/relationships/hyperlink" Target="http://192.168.13.52:8904/basic&#65288;manager/123456&#65289;"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opLeftCell="A18" workbookViewId="0">
      <selection activeCell="F367" sqref="F367"/>
    </sheetView>
  </sheetViews>
  <sheetFormatPr defaultColWidth="8" defaultRowHeight="15.6" outlineLevelCol="6"/>
  <cols>
    <col min="1" max="1" width="18.75" style="134" customWidth="1"/>
    <col min="2" max="2" width="12.75" style="134" customWidth="1"/>
    <col min="3" max="3" width="56.25" style="135" customWidth="1"/>
    <col min="4" max="4" width="19.125" style="135" customWidth="1"/>
    <col min="5" max="5" width="6.875" style="135" customWidth="1"/>
    <col min="6" max="6" width="12.625" style="135" customWidth="1"/>
    <col min="7" max="7" width="28.125" style="135" customWidth="1"/>
    <col min="8" max="256" width="8" style="135"/>
  </cols>
  <sheetData>
    <row r="1" ht="27" customHeight="1" spans="1:7">
      <c r="A1" s="136" t="s">
        <v>0</v>
      </c>
      <c r="B1" s="137"/>
      <c r="C1" s="137"/>
      <c r="D1" s="137"/>
      <c r="E1" s="137"/>
      <c r="F1" s="137"/>
      <c r="G1" s="137"/>
    </row>
    <row r="2" ht="17.1" customHeight="1" spans="1:7">
      <c r="A2" s="138" t="s">
        <v>1</v>
      </c>
      <c r="B2" s="138" t="s">
        <v>2</v>
      </c>
      <c r="C2" s="138" t="s">
        <v>3</v>
      </c>
      <c r="D2" s="138" t="s">
        <v>4</v>
      </c>
      <c r="E2" s="138" t="s">
        <v>5</v>
      </c>
      <c r="F2" s="138" t="s">
        <v>6</v>
      </c>
      <c r="G2" s="138" t="s">
        <v>7</v>
      </c>
    </row>
    <row r="3" ht="18" customHeight="1" spans="1:7">
      <c r="A3" s="139" t="s">
        <v>8</v>
      </c>
      <c r="B3" s="139" t="s">
        <v>9</v>
      </c>
      <c r="C3" s="140" t="s">
        <v>10</v>
      </c>
      <c r="D3" s="141" t="s">
        <v>11</v>
      </c>
      <c r="E3" s="142"/>
      <c r="F3" s="143" t="s">
        <v>12</v>
      </c>
      <c r="G3" s="144"/>
    </row>
    <row r="4" ht="18" customHeight="1" spans="1:7">
      <c r="A4" s="139"/>
      <c r="B4" s="139"/>
      <c r="C4" s="145" t="s">
        <v>13</v>
      </c>
      <c r="D4" s="146" t="s">
        <v>14</v>
      </c>
      <c r="E4" s="146"/>
      <c r="F4" s="146" t="s">
        <v>15</v>
      </c>
      <c r="G4" s="144"/>
    </row>
    <row r="5" ht="18" customHeight="1" spans="1:7">
      <c r="A5" s="139"/>
      <c r="B5" s="139"/>
      <c r="C5" s="145" t="s">
        <v>16</v>
      </c>
      <c r="D5" s="146" t="s">
        <v>17</v>
      </c>
      <c r="E5" s="146"/>
      <c r="F5" s="146" t="s">
        <v>15</v>
      </c>
      <c r="G5" s="144"/>
    </row>
    <row r="6" ht="18" customHeight="1" spans="1:6">
      <c r="A6" s="139"/>
      <c r="B6" s="139" t="s">
        <v>18</v>
      </c>
      <c r="C6" s="140" t="s">
        <v>19</v>
      </c>
      <c r="D6" s="143" t="s">
        <v>20</v>
      </c>
      <c r="E6" s="143"/>
      <c r="F6" s="143" t="s">
        <v>12</v>
      </c>
    </row>
    <row r="7" ht="18" customHeight="1" spans="1:6">
      <c r="A7" s="139"/>
      <c r="B7" s="139" t="s">
        <v>21</v>
      </c>
      <c r="C7" s="145" t="s">
        <v>22</v>
      </c>
      <c r="D7" s="146" t="s">
        <v>20</v>
      </c>
      <c r="E7" s="146"/>
      <c r="F7" s="146" t="s">
        <v>23</v>
      </c>
    </row>
    <row r="8" ht="18" customHeight="1" spans="1:6">
      <c r="A8" s="139"/>
      <c r="B8" s="139"/>
      <c r="C8" s="145" t="s">
        <v>24</v>
      </c>
      <c r="D8" s="146" t="s">
        <v>25</v>
      </c>
      <c r="E8" s="146"/>
      <c r="F8" s="146" t="s">
        <v>23</v>
      </c>
    </row>
    <row r="9" ht="18" customHeight="1" spans="1:6">
      <c r="A9" s="139"/>
      <c r="B9" s="139" t="s">
        <v>26</v>
      </c>
      <c r="C9" s="145" t="s">
        <v>27</v>
      </c>
      <c r="D9" s="146" t="s">
        <v>28</v>
      </c>
      <c r="E9" s="146"/>
      <c r="F9" s="146" t="s">
        <v>15</v>
      </c>
    </row>
    <row r="10" ht="18" customHeight="1" spans="1:7">
      <c r="A10" s="139" t="s">
        <v>29</v>
      </c>
      <c r="B10" s="139" t="s">
        <v>26</v>
      </c>
      <c r="C10" s="147" t="s">
        <v>30</v>
      </c>
      <c r="D10" s="148" t="s">
        <v>28</v>
      </c>
      <c r="E10" s="148"/>
      <c r="F10" s="148" t="s">
        <v>31</v>
      </c>
      <c r="G10" s="146" t="s">
        <v>32</v>
      </c>
    </row>
    <row r="11" ht="18" customHeight="1" spans="1:6">
      <c r="A11" s="139"/>
      <c r="B11" s="139"/>
      <c r="C11" s="140" t="s">
        <v>33</v>
      </c>
      <c r="D11" s="143" t="s">
        <v>34</v>
      </c>
      <c r="E11" s="143"/>
      <c r="F11" s="143" t="s">
        <v>12</v>
      </c>
    </row>
    <row r="12" ht="18" customHeight="1" spans="1:6">
      <c r="A12" s="139"/>
      <c r="B12" s="139"/>
      <c r="C12" s="140" t="s">
        <v>35</v>
      </c>
      <c r="D12" s="143" t="s">
        <v>36</v>
      </c>
      <c r="E12" s="143"/>
      <c r="F12" s="143" t="s">
        <v>12</v>
      </c>
    </row>
    <row r="13" ht="18" customHeight="1" spans="1:6">
      <c r="A13" s="139"/>
      <c r="B13" s="139"/>
      <c r="C13" s="140" t="s">
        <v>37</v>
      </c>
      <c r="D13" s="143" t="s">
        <v>36</v>
      </c>
      <c r="E13" s="143"/>
      <c r="F13" s="143" t="s">
        <v>12</v>
      </c>
    </row>
    <row r="14" ht="18" customHeight="1" spans="1:6">
      <c r="A14" s="139"/>
      <c r="B14" s="139"/>
      <c r="C14" s="140" t="s">
        <v>38</v>
      </c>
      <c r="D14" s="143" t="s">
        <v>34</v>
      </c>
      <c r="E14" s="143"/>
      <c r="F14" s="143" t="s">
        <v>12</v>
      </c>
    </row>
    <row r="15" ht="18" customHeight="1" spans="1:6">
      <c r="A15" s="139"/>
      <c r="B15" s="139"/>
      <c r="C15" s="145" t="s">
        <v>39</v>
      </c>
      <c r="D15" s="146" t="s">
        <v>28</v>
      </c>
      <c r="E15" s="146"/>
      <c r="F15" s="146" t="s">
        <v>15</v>
      </c>
    </row>
    <row r="16" ht="18" customHeight="1" spans="1:6">
      <c r="A16" s="139"/>
      <c r="B16" s="139"/>
      <c r="C16" s="140" t="s">
        <v>40</v>
      </c>
      <c r="D16" s="143" t="s">
        <v>41</v>
      </c>
      <c r="E16" s="143"/>
      <c r="F16" s="143" t="s">
        <v>12</v>
      </c>
    </row>
    <row r="17" ht="18" customHeight="1" spans="1:6">
      <c r="A17" s="139"/>
      <c r="B17" s="150" t="s">
        <v>42</v>
      </c>
      <c r="C17" s="145" t="s">
        <v>43</v>
      </c>
      <c r="D17" s="146" t="s">
        <v>28</v>
      </c>
      <c r="E17" s="146"/>
      <c r="F17" s="146" t="s">
        <v>15</v>
      </c>
    </row>
    <row r="18" ht="18" customHeight="1" spans="1:6">
      <c r="A18" s="139"/>
      <c r="B18" s="150"/>
      <c r="C18" s="145" t="s">
        <v>44</v>
      </c>
      <c r="D18" s="146" t="s">
        <v>28</v>
      </c>
      <c r="E18" s="146"/>
      <c r="F18" s="146" t="s">
        <v>15</v>
      </c>
    </row>
    <row r="19" ht="18" customHeight="1" spans="1:7">
      <c r="A19" s="139"/>
      <c r="B19" s="150" t="s">
        <v>45</v>
      </c>
      <c r="C19" s="145" t="s">
        <v>46</v>
      </c>
      <c r="D19" s="146" t="s">
        <v>28</v>
      </c>
      <c r="E19" s="146"/>
      <c r="F19" s="146" t="s">
        <v>23</v>
      </c>
      <c r="G19" s="146"/>
    </row>
    <row r="20" ht="18" customHeight="1" spans="1:7">
      <c r="A20" s="139"/>
      <c r="B20" s="150"/>
      <c r="C20" s="140" t="s">
        <v>47</v>
      </c>
      <c r="D20" s="143" t="s">
        <v>28</v>
      </c>
      <c r="E20" s="143"/>
      <c r="F20" s="143" t="s">
        <v>12</v>
      </c>
      <c r="G20" s="146"/>
    </row>
    <row r="21" ht="18" customHeight="1" spans="1:7">
      <c r="A21" s="139"/>
      <c r="B21" s="150"/>
      <c r="C21" s="140" t="s">
        <v>48</v>
      </c>
      <c r="D21" s="143" t="s">
        <v>28</v>
      </c>
      <c r="E21" s="143"/>
      <c r="F21" s="143" t="s">
        <v>12</v>
      </c>
      <c r="G21" s="146"/>
    </row>
    <row r="22" ht="18" customHeight="1" spans="1:7">
      <c r="A22" s="139"/>
      <c r="B22" s="150"/>
      <c r="C22" s="140" t="s">
        <v>49</v>
      </c>
      <c r="D22" s="143" t="s">
        <v>28</v>
      </c>
      <c r="E22" s="143"/>
      <c r="F22" s="143" t="s">
        <v>12</v>
      </c>
      <c r="G22" s="146" t="s">
        <v>50</v>
      </c>
    </row>
    <row r="23" ht="18" customHeight="1" spans="1:6">
      <c r="A23" s="139" t="s">
        <v>51</v>
      </c>
      <c r="B23" s="139" t="s">
        <v>52</v>
      </c>
      <c r="C23" s="145" t="s">
        <v>53</v>
      </c>
      <c r="D23" s="146" t="s">
        <v>28</v>
      </c>
      <c r="E23" s="146"/>
      <c r="F23" s="146" t="s">
        <v>15</v>
      </c>
    </row>
    <row r="24" ht="18" customHeight="1" spans="1:6">
      <c r="A24" s="139"/>
      <c r="B24" s="139"/>
      <c r="C24" s="140" t="s">
        <v>54</v>
      </c>
      <c r="D24" s="143" t="s">
        <v>28</v>
      </c>
      <c r="E24" s="143"/>
      <c r="F24" s="143" t="s">
        <v>12</v>
      </c>
    </row>
    <row r="25" ht="18" customHeight="1" spans="1:7">
      <c r="A25" s="139"/>
      <c r="B25" s="139" t="s">
        <v>55</v>
      </c>
      <c r="C25" s="152" t="s">
        <v>56</v>
      </c>
      <c r="D25" s="143" t="s">
        <v>14</v>
      </c>
      <c r="E25" s="143"/>
      <c r="F25" s="143" t="s">
        <v>12</v>
      </c>
      <c r="G25" s="146"/>
    </row>
    <row r="26" ht="18" customHeight="1" spans="1:7">
      <c r="A26" s="139"/>
      <c r="B26" s="139"/>
      <c r="C26" s="140" t="s">
        <v>57</v>
      </c>
      <c r="D26" s="143" t="s">
        <v>14</v>
      </c>
      <c r="E26" s="143"/>
      <c r="F26" s="143" t="s">
        <v>12</v>
      </c>
      <c r="G26" s="146"/>
    </row>
  </sheetData>
  <mergeCells count="11">
    <mergeCell ref="A1:G1"/>
    <mergeCell ref="A3:A9"/>
    <mergeCell ref="A10:A22"/>
    <mergeCell ref="A23:A26"/>
    <mergeCell ref="B3:B5"/>
    <mergeCell ref="B7:B8"/>
    <mergeCell ref="B10:B16"/>
    <mergeCell ref="B17:B18"/>
    <mergeCell ref="B19:B22"/>
    <mergeCell ref="B23:B24"/>
    <mergeCell ref="B25:B26"/>
  </mergeCells>
  <pageMargins left="0.75" right="0.75" top="1" bottom="1" header="0.509027777777778" footer="0.509027777777778"/>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F367" sqref="F367"/>
    </sheetView>
  </sheetViews>
  <sheetFormatPr defaultColWidth="9" defaultRowHeight="15.6" outlineLevelCol="3"/>
  <cols>
    <col min="1" max="1" width="12" customWidth="1"/>
    <col min="2" max="2" width="47.125" customWidth="1"/>
    <col min="3" max="3" width="11.625" style="9" customWidth="1"/>
    <col min="4" max="4" width="34.875" customWidth="1"/>
    <col min="7" max="7" width="12.625"/>
  </cols>
  <sheetData>
    <row r="1" ht="21" customHeight="1" spans="1:4">
      <c r="A1" s="173" t="s">
        <v>58</v>
      </c>
      <c r="B1" s="173" t="s">
        <v>59</v>
      </c>
      <c r="C1" s="173" t="s">
        <v>60</v>
      </c>
      <c r="D1" s="173" t="s">
        <v>61</v>
      </c>
    </row>
    <row r="2" ht="21" customHeight="1" spans="1:4">
      <c r="A2" s="174" t="s">
        <v>62</v>
      </c>
      <c r="B2" s="173" t="s">
        <v>63</v>
      </c>
      <c r="C2" s="174" t="s">
        <v>64</v>
      </c>
      <c r="D2" s="174" t="s">
        <v>65</v>
      </c>
    </row>
    <row r="3" ht="21" customHeight="1" spans="1:4">
      <c r="A3" s="174"/>
      <c r="B3" s="173" t="s">
        <v>66</v>
      </c>
      <c r="C3" s="174"/>
      <c r="D3" s="174"/>
    </row>
    <row r="4" ht="21" customHeight="1" spans="1:4">
      <c r="A4" s="174"/>
      <c r="B4" s="173" t="s">
        <v>67</v>
      </c>
      <c r="C4" s="174"/>
      <c r="D4" s="174"/>
    </row>
    <row r="5" ht="21" customHeight="1" spans="1:4">
      <c r="A5" s="174"/>
      <c r="B5" s="173" t="s">
        <v>68</v>
      </c>
      <c r="C5" s="174"/>
      <c r="D5" s="174"/>
    </row>
    <row r="6" ht="21" customHeight="1" spans="1:4">
      <c r="A6" s="173" t="s">
        <v>69</v>
      </c>
      <c r="B6" s="173" t="s">
        <v>70</v>
      </c>
      <c r="C6" s="173" t="s">
        <v>71</v>
      </c>
      <c r="D6" s="173" t="s">
        <v>72</v>
      </c>
    </row>
    <row r="7" ht="21" customHeight="1" spans="1:4">
      <c r="A7" s="173" t="s">
        <v>73</v>
      </c>
      <c r="B7" s="173" t="s">
        <v>74</v>
      </c>
      <c r="C7" s="173" t="s">
        <v>75</v>
      </c>
      <c r="D7" s="173" t="s">
        <v>76</v>
      </c>
    </row>
    <row r="8" ht="21" customHeight="1" spans="1:4">
      <c r="A8" s="173" t="s">
        <v>77</v>
      </c>
      <c r="B8" s="173" t="s">
        <v>78</v>
      </c>
      <c r="C8" s="173" t="s">
        <v>79</v>
      </c>
      <c r="D8" s="173" t="s">
        <v>80</v>
      </c>
    </row>
    <row r="9" ht="18" customHeight="1" spans="1:4">
      <c r="A9" s="173" t="s">
        <v>81</v>
      </c>
      <c r="B9" s="173" t="s">
        <v>82</v>
      </c>
      <c r="C9" s="173" t="s">
        <v>83</v>
      </c>
      <c r="D9" s="173" t="s">
        <v>84</v>
      </c>
    </row>
  </sheetData>
  <mergeCells count="3">
    <mergeCell ref="A2:A5"/>
    <mergeCell ref="C2:C5"/>
    <mergeCell ref="D2:D5"/>
  </mergeCells>
  <pageMargins left="0.75" right="0.75" top="1" bottom="1" header="0.509027777777778" footer="0.509027777777778"/>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F367" sqref="F367"/>
    </sheetView>
  </sheetViews>
  <sheetFormatPr defaultColWidth="8" defaultRowHeight="15.6" outlineLevelCol="4"/>
  <cols>
    <col min="1" max="1" width="16.25" style="150" customWidth="1"/>
    <col min="2" max="2" width="19.625" style="150" customWidth="1"/>
    <col min="3" max="3" width="11.875" style="150" customWidth="1"/>
    <col min="4" max="4" width="50.875" style="150" customWidth="1"/>
    <col min="5" max="5" width="27.125" style="150" customWidth="1"/>
    <col min="6" max="256" width="8" style="150"/>
  </cols>
  <sheetData>
    <row r="1" ht="42" customHeight="1" spans="1:4">
      <c r="A1" s="164" t="s">
        <v>85</v>
      </c>
      <c r="B1" s="164"/>
      <c r="C1" s="164"/>
      <c r="D1" s="164"/>
    </row>
    <row r="2" s="162" customFormat="1" ht="30" customHeight="1" spans="1:5">
      <c r="A2" s="165" t="s">
        <v>2</v>
      </c>
      <c r="B2" s="165" t="s">
        <v>3</v>
      </c>
      <c r="C2" s="165" t="s">
        <v>86</v>
      </c>
      <c r="D2" s="165" t="s">
        <v>87</v>
      </c>
      <c r="E2" s="165" t="s">
        <v>88</v>
      </c>
    </row>
    <row r="3" ht="21" customHeight="1" spans="1:5">
      <c r="A3" s="139" t="s">
        <v>89</v>
      </c>
      <c r="B3" s="150" t="s">
        <v>90</v>
      </c>
      <c r="C3" s="139" t="s">
        <v>91</v>
      </c>
      <c r="D3" s="166" t="s">
        <v>92</v>
      </c>
      <c r="E3" s="167" t="s">
        <v>93</v>
      </c>
    </row>
    <row r="4" ht="21" customHeight="1" spans="1:5">
      <c r="A4" s="139"/>
      <c r="B4" s="139" t="s">
        <v>94</v>
      </c>
      <c r="C4" s="139" t="s">
        <v>91</v>
      </c>
      <c r="D4" s="166" t="s">
        <v>95</v>
      </c>
      <c r="E4" s="168"/>
    </row>
    <row r="5" ht="21" customHeight="1" spans="1:5">
      <c r="A5" s="139"/>
      <c r="B5" s="139" t="s">
        <v>96</v>
      </c>
      <c r="C5" s="139" t="s">
        <v>91</v>
      </c>
      <c r="D5" s="166" t="s">
        <v>97</v>
      </c>
      <c r="E5" s="168"/>
    </row>
    <row r="6" ht="21" customHeight="1" spans="1:4">
      <c r="A6" s="139" t="s">
        <v>98</v>
      </c>
      <c r="B6" s="139" t="s">
        <v>99</v>
      </c>
      <c r="C6" s="139" t="s">
        <v>91</v>
      </c>
      <c r="D6" s="166" t="s">
        <v>100</v>
      </c>
    </row>
    <row r="7" s="163" customFormat="1" ht="21" customHeight="1" spans="1:4">
      <c r="A7" s="169"/>
      <c r="B7" s="170" t="s">
        <v>101</v>
      </c>
      <c r="C7" s="169" t="s">
        <v>91</v>
      </c>
      <c r="D7" s="171" t="s">
        <v>102</v>
      </c>
    </row>
    <row r="8" ht="21" customHeight="1" spans="1:4">
      <c r="A8" s="139"/>
      <c r="B8" s="172" t="s">
        <v>103</v>
      </c>
      <c r="C8" s="139" t="s">
        <v>91</v>
      </c>
      <c r="D8" s="166" t="s">
        <v>104</v>
      </c>
    </row>
    <row r="9" ht="21" customHeight="1" spans="1:4">
      <c r="A9" s="139"/>
      <c r="B9" s="139" t="s">
        <v>105</v>
      </c>
      <c r="C9" s="139" t="s">
        <v>106</v>
      </c>
      <c r="D9" s="166" t="s">
        <v>107</v>
      </c>
    </row>
    <row r="10" ht="21" customHeight="1" spans="1:4">
      <c r="A10" s="139" t="s">
        <v>108</v>
      </c>
      <c r="B10" s="172" t="s">
        <v>109</v>
      </c>
      <c r="C10" s="139" t="s">
        <v>91</v>
      </c>
      <c r="D10" s="166" t="s">
        <v>110</v>
      </c>
    </row>
    <row r="11" ht="21" customHeight="1" spans="1:4">
      <c r="A11" s="139"/>
      <c r="B11" s="172" t="s">
        <v>108</v>
      </c>
      <c r="C11" s="139" t="s">
        <v>91</v>
      </c>
      <c r="D11" s="166" t="s">
        <v>111</v>
      </c>
    </row>
    <row r="12" ht="21" customHeight="1" spans="1:4">
      <c r="A12" s="139"/>
      <c r="B12" s="172" t="s">
        <v>112</v>
      </c>
      <c r="C12" s="139" t="s">
        <v>91</v>
      </c>
      <c r="D12" s="166" t="s">
        <v>113</v>
      </c>
    </row>
  </sheetData>
  <mergeCells count="5">
    <mergeCell ref="A1:D1"/>
    <mergeCell ref="A3:A5"/>
    <mergeCell ref="A6:A9"/>
    <mergeCell ref="A10:A12"/>
    <mergeCell ref="E3:E5"/>
  </mergeCells>
  <pageMargins left="0.75" right="0.75" top="1" bottom="1" header="0.509027777777778" footer="0.509027777777778"/>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16"/>
  <sheetViews>
    <sheetView workbookViewId="0">
      <selection activeCell="F367" sqref="F367"/>
    </sheetView>
  </sheetViews>
  <sheetFormatPr defaultColWidth="8" defaultRowHeight="15.6"/>
  <cols>
    <col min="1" max="1" width="8.75" style="150" customWidth="1"/>
    <col min="2" max="2" width="56" style="135" customWidth="1"/>
    <col min="3" max="3" width="38.125" style="135" customWidth="1"/>
    <col min="4" max="4" width="23.5" style="135" customWidth="1"/>
    <col min="5" max="249" width="8" style="135"/>
  </cols>
  <sheetData>
    <row r="1" s="153" customFormat="1" ht="21" customHeight="1" spans="1:4">
      <c r="A1" s="155" t="s">
        <v>2</v>
      </c>
      <c r="B1" s="156" t="s">
        <v>114</v>
      </c>
      <c r="C1" s="157" t="s">
        <v>115</v>
      </c>
      <c r="D1" s="157" t="s">
        <v>6</v>
      </c>
    </row>
    <row r="2" s="154" customFormat="1" ht="21" customHeight="1" spans="1:4">
      <c r="A2" s="45" t="s">
        <v>116</v>
      </c>
      <c r="B2" s="158" t="s">
        <v>117</v>
      </c>
      <c r="C2" s="159"/>
      <c r="D2" s="159" t="s">
        <v>118</v>
      </c>
    </row>
    <row r="3" s="154" customFormat="1" ht="21" customHeight="1" spans="1:4">
      <c r="A3" s="45"/>
      <c r="B3" s="158" t="s">
        <v>119</v>
      </c>
      <c r="C3" s="159"/>
      <c r="D3" s="159" t="s">
        <v>23</v>
      </c>
    </row>
    <row r="4" s="42" customFormat="1" ht="21" customHeight="1" spans="1:249">
      <c r="A4" s="45" t="s">
        <v>26</v>
      </c>
      <c r="B4" s="158" t="s">
        <v>120</v>
      </c>
      <c r="C4" s="158" t="s">
        <v>121</v>
      </c>
      <c r="D4" s="159" t="s">
        <v>122</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c r="DB4" s="154"/>
      <c r="DC4" s="154"/>
      <c r="DD4" s="154"/>
      <c r="DE4" s="154"/>
      <c r="DF4" s="154"/>
      <c r="DG4" s="154"/>
      <c r="DH4" s="154"/>
      <c r="DI4" s="154"/>
      <c r="DJ4" s="154"/>
      <c r="DK4" s="154"/>
      <c r="DL4" s="154"/>
      <c r="DM4" s="154"/>
      <c r="DN4" s="154"/>
      <c r="DO4" s="154"/>
      <c r="DP4" s="154"/>
      <c r="DQ4" s="154"/>
      <c r="DR4" s="154"/>
      <c r="DS4" s="154"/>
      <c r="DT4" s="154"/>
      <c r="DU4" s="154"/>
      <c r="DV4" s="154"/>
      <c r="DW4" s="154"/>
      <c r="DX4" s="154"/>
      <c r="DY4" s="154"/>
      <c r="DZ4" s="154"/>
      <c r="EA4" s="154"/>
      <c r="EB4" s="154"/>
      <c r="EC4" s="154"/>
      <c r="ED4" s="154"/>
      <c r="EE4" s="154"/>
      <c r="EF4" s="154"/>
      <c r="EG4" s="154"/>
      <c r="EH4" s="154"/>
      <c r="EI4" s="154"/>
      <c r="EJ4" s="154"/>
      <c r="EK4" s="154"/>
      <c r="EL4" s="154"/>
      <c r="EM4" s="154"/>
      <c r="EN4" s="154"/>
      <c r="EO4" s="154"/>
      <c r="EP4" s="154"/>
      <c r="EQ4" s="154"/>
      <c r="ER4" s="154"/>
      <c r="ES4" s="154"/>
      <c r="ET4" s="154"/>
      <c r="EU4" s="154"/>
      <c r="EV4" s="154"/>
      <c r="EW4" s="154"/>
      <c r="EX4" s="154"/>
      <c r="EY4" s="154"/>
      <c r="EZ4" s="154"/>
      <c r="FA4" s="154"/>
      <c r="FB4" s="154"/>
      <c r="FC4" s="154"/>
      <c r="FD4" s="154"/>
      <c r="FE4" s="154"/>
      <c r="FF4" s="154"/>
      <c r="FG4" s="154"/>
      <c r="FH4" s="154"/>
      <c r="FI4" s="154"/>
      <c r="FJ4" s="154"/>
      <c r="FK4" s="154"/>
      <c r="FL4" s="154"/>
      <c r="FM4" s="154"/>
      <c r="FN4" s="154"/>
      <c r="FO4" s="154"/>
      <c r="FP4" s="154"/>
      <c r="FQ4" s="154"/>
      <c r="FR4" s="154"/>
      <c r="FS4" s="154"/>
      <c r="FT4" s="154"/>
      <c r="FU4" s="154"/>
      <c r="FV4" s="154"/>
      <c r="FW4" s="154"/>
      <c r="FX4" s="154"/>
      <c r="FY4" s="154"/>
      <c r="FZ4" s="154"/>
      <c r="GA4" s="154"/>
      <c r="GB4" s="154"/>
      <c r="GC4" s="154"/>
      <c r="GD4" s="154"/>
      <c r="GE4" s="154"/>
      <c r="GF4" s="154"/>
      <c r="GG4" s="154"/>
      <c r="GH4" s="154"/>
      <c r="GI4" s="154"/>
      <c r="GJ4" s="154"/>
      <c r="GK4" s="154"/>
      <c r="GL4" s="154"/>
      <c r="GM4" s="154"/>
      <c r="GN4" s="154"/>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4"/>
      <c r="HM4" s="154"/>
      <c r="HN4" s="154"/>
      <c r="HO4" s="154"/>
      <c r="HP4" s="154"/>
      <c r="HQ4" s="154"/>
      <c r="HR4" s="154"/>
      <c r="HS4" s="154"/>
      <c r="HT4" s="154"/>
      <c r="HU4" s="154"/>
      <c r="HV4" s="154"/>
      <c r="HW4" s="154"/>
      <c r="HX4" s="154"/>
      <c r="HY4" s="154"/>
      <c r="HZ4" s="154"/>
      <c r="IA4" s="154"/>
      <c r="IB4" s="154"/>
      <c r="IC4" s="154"/>
      <c r="ID4" s="154"/>
      <c r="IE4" s="154"/>
      <c r="IF4" s="154"/>
      <c r="IG4" s="154"/>
      <c r="IH4" s="154"/>
      <c r="II4" s="154"/>
      <c r="IJ4" s="154"/>
      <c r="IK4" s="154"/>
      <c r="IL4" s="154"/>
      <c r="IM4" s="154"/>
      <c r="IN4" s="154"/>
      <c r="IO4" s="154"/>
    </row>
    <row r="5" s="42" customFormat="1" ht="21" customHeight="1" spans="1:249">
      <c r="A5" s="45"/>
      <c r="B5" s="158" t="s">
        <v>123</v>
      </c>
      <c r="C5" s="159"/>
      <c r="D5" s="159" t="s">
        <v>122</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4"/>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c r="CS5" s="154"/>
      <c r="CT5" s="154"/>
      <c r="CU5" s="154"/>
      <c r="CV5" s="154"/>
      <c r="CW5" s="154"/>
      <c r="CX5" s="154"/>
      <c r="CY5" s="154"/>
      <c r="CZ5" s="154"/>
      <c r="DA5" s="154"/>
      <c r="DB5" s="154"/>
      <c r="DC5" s="154"/>
      <c r="DD5" s="154"/>
      <c r="DE5" s="154"/>
      <c r="DF5" s="154"/>
      <c r="DG5" s="154"/>
      <c r="DH5" s="154"/>
      <c r="DI5" s="154"/>
      <c r="DJ5" s="154"/>
      <c r="DK5" s="154"/>
      <c r="DL5" s="154"/>
      <c r="DM5" s="154"/>
      <c r="DN5" s="154"/>
      <c r="DO5" s="154"/>
      <c r="DP5" s="154"/>
      <c r="DQ5" s="154"/>
      <c r="DR5" s="154"/>
      <c r="DS5" s="154"/>
      <c r="DT5" s="154"/>
      <c r="DU5" s="154"/>
      <c r="DV5" s="154"/>
      <c r="DW5" s="154"/>
      <c r="DX5" s="154"/>
      <c r="DY5" s="154"/>
      <c r="DZ5" s="154"/>
      <c r="EA5" s="154"/>
      <c r="EB5" s="154"/>
      <c r="EC5" s="154"/>
      <c r="ED5" s="154"/>
      <c r="EE5" s="154"/>
      <c r="EF5" s="154"/>
      <c r="EG5" s="154"/>
      <c r="EH5" s="154"/>
      <c r="EI5" s="154"/>
      <c r="EJ5" s="154"/>
      <c r="EK5" s="154"/>
      <c r="EL5" s="154"/>
      <c r="EM5" s="154"/>
      <c r="EN5" s="154"/>
      <c r="EO5" s="154"/>
      <c r="EP5" s="154"/>
      <c r="EQ5" s="154"/>
      <c r="ER5" s="154"/>
      <c r="ES5" s="154"/>
      <c r="ET5" s="154"/>
      <c r="EU5" s="154"/>
      <c r="EV5" s="154"/>
      <c r="EW5" s="154"/>
      <c r="EX5" s="154"/>
      <c r="EY5" s="154"/>
      <c r="EZ5" s="154"/>
      <c r="FA5" s="154"/>
      <c r="FB5" s="154"/>
      <c r="FC5" s="154"/>
      <c r="FD5" s="154"/>
      <c r="FE5" s="154"/>
      <c r="FF5" s="154"/>
      <c r="FG5" s="154"/>
      <c r="FH5" s="154"/>
      <c r="FI5" s="154"/>
      <c r="FJ5" s="154"/>
      <c r="FK5" s="154"/>
      <c r="FL5" s="154"/>
      <c r="FM5" s="154"/>
      <c r="FN5" s="154"/>
      <c r="FO5" s="154"/>
      <c r="FP5" s="154"/>
      <c r="FQ5" s="154"/>
      <c r="FR5" s="154"/>
      <c r="FS5" s="154"/>
      <c r="FT5" s="154"/>
      <c r="FU5" s="154"/>
      <c r="FV5" s="154"/>
      <c r="FW5" s="154"/>
      <c r="FX5" s="154"/>
      <c r="FY5" s="154"/>
      <c r="FZ5" s="154"/>
      <c r="GA5" s="154"/>
      <c r="GB5" s="154"/>
      <c r="GC5" s="154"/>
      <c r="GD5" s="154"/>
      <c r="GE5" s="154"/>
      <c r="GF5" s="154"/>
      <c r="GG5" s="154"/>
      <c r="GH5" s="154"/>
      <c r="GI5" s="154"/>
      <c r="GJ5" s="154"/>
      <c r="GK5" s="154"/>
      <c r="GL5" s="154"/>
      <c r="GM5" s="154"/>
      <c r="GN5" s="154"/>
      <c r="GO5" s="154"/>
      <c r="GP5" s="154"/>
      <c r="GQ5" s="154"/>
      <c r="GR5" s="154"/>
      <c r="GS5" s="154"/>
      <c r="GT5" s="154"/>
      <c r="GU5" s="154"/>
      <c r="GV5" s="154"/>
      <c r="GW5" s="154"/>
      <c r="GX5" s="154"/>
      <c r="GY5" s="154"/>
      <c r="GZ5" s="154"/>
      <c r="HA5" s="154"/>
      <c r="HB5" s="154"/>
      <c r="HC5" s="154"/>
      <c r="HD5" s="154"/>
      <c r="HE5" s="154"/>
      <c r="HF5" s="154"/>
      <c r="HG5" s="154"/>
      <c r="HH5" s="154"/>
      <c r="HI5" s="154"/>
      <c r="HJ5" s="154"/>
      <c r="HK5" s="154"/>
      <c r="HL5" s="154"/>
      <c r="HM5" s="154"/>
      <c r="HN5" s="154"/>
      <c r="HO5" s="154"/>
      <c r="HP5" s="154"/>
      <c r="HQ5" s="154"/>
      <c r="HR5" s="154"/>
      <c r="HS5" s="154"/>
      <c r="HT5" s="154"/>
      <c r="HU5" s="154"/>
      <c r="HV5" s="154"/>
      <c r="HW5" s="154"/>
      <c r="HX5" s="154"/>
      <c r="HY5" s="154"/>
      <c r="HZ5" s="154"/>
      <c r="IA5" s="154"/>
      <c r="IB5" s="154"/>
      <c r="IC5" s="154"/>
      <c r="ID5" s="154"/>
      <c r="IE5" s="154"/>
      <c r="IF5" s="154"/>
      <c r="IG5" s="154"/>
      <c r="IH5" s="154"/>
      <c r="II5" s="154"/>
      <c r="IJ5" s="154"/>
      <c r="IK5" s="154"/>
      <c r="IL5" s="154"/>
      <c r="IM5" s="154"/>
      <c r="IN5" s="154"/>
      <c r="IO5" s="154"/>
    </row>
    <row r="6" s="42" customFormat="1" ht="21" customHeight="1" spans="1:249">
      <c r="A6" s="45"/>
      <c r="B6" s="159" t="s">
        <v>124</v>
      </c>
      <c r="C6" s="159" t="s">
        <v>125</v>
      </c>
      <c r="D6" s="159" t="s">
        <v>122</v>
      </c>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4"/>
      <c r="DC6" s="154"/>
      <c r="DD6" s="154"/>
      <c r="DE6" s="154"/>
      <c r="DF6" s="154"/>
      <c r="DG6" s="154"/>
      <c r="DH6" s="154"/>
      <c r="DI6" s="154"/>
      <c r="DJ6" s="154"/>
      <c r="DK6" s="154"/>
      <c r="DL6" s="154"/>
      <c r="DM6" s="154"/>
      <c r="DN6" s="154"/>
      <c r="DO6" s="154"/>
      <c r="DP6" s="154"/>
      <c r="DQ6" s="154"/>
      <c r="DR6" s="154"/>
      <c r="DS6" s="154"/>
      <c r="DT6" s="154"/>
      <c r="DU6" s="154"/>
      <c r="DV6" s="154"/>
      <c r="DW6" s="154"/>
      <c r="DX6" s="154"/>
      <c r="DY6" s="154"/>
      <c r="DZ6" s="154"/>
      <c r="EA6" s="154"/>
      <c r="EB6" s="154"/>
      <c r="EC6" s="154"/>
      <c r="ED6" s="154"/>
      <c r="EE6" s="154"/>
      <c r="EF6" s="154"/>
      <c r="EG6" s="154"/>
      <c r="EH6" s="154"/>
      <c r="EI6" s="154"/>
      <c r="EJ6" s="154"/>
      <c r="EK6" s="154"/>
      <c r="EL6" s="154"/>
      <c r="EM6" s="154"/>
      <c r="EN6" s="154"/>
      <c r="EO6" s="154"/>
      <c r="EP6" s="154"/>
      <c r="EQ6" s="154"/>
      <c r="ER6" s="154"/>
      <c r="ES6" s="154"/>
      <c r="ET6" s="154"/>
      <c r="EU6" s="154"/>
      <c r="EV6" s="154"/>
      <c r="EW6" s="154"/>
      <c r="EX6" s="154"/>
      <c r="EY6" s="154"/>
      <c r="EZ6" s="154"/>
      <c r="FA6" s="154"/>
      <c r="FB6" s="154"/>
      <c r="FC6" s="154"/>
      <c r="FD6" s="154"/>
      <c r="FE6" s="154"/>
      <c r="FF6" s="154"/>
      <c r="FG6" s="154"/>
      <c r="FH6" s="154"/>
      <c r="FI6" s="154"/>
      <c r="FJ6" s="154"/>
      <c r="FK6" s="154"/>
      <c r="FL6" s="154"/>
      <c r="FM6" s="154"/>
      <c r="FN6" s="154"/>
      <c r="FO6" s="154"/>
      <c r="FP6" s="154"/>
      <c r="FQ6" s="154"/>
      <c r="FR6" s="154"/>
      <c r="FS6" s="154"/>
      <c r="FT6" s="154"/>
      <c r="FU6" s="154"/>
      <c r="FV6" s="154"/>
      <c r="FW6" s="154"/>
      <c r="FX6" s="154"/>
      <c r="FY6" s="154"/>
      <c r="FZ6" s="154"/>
      <c r="GA6" s="154"/>
      <c r="GB6" s="154"/>
      <c r="GC6" s="154"/>
      <c r="GD6" s="154"/>
      <c r="GE6" s="154"/>
      <c r="GF6" s="154"/>
      <c r="GG6" s="154"/>
      <c r="GH6" s="154"/>
      <c r="GI6" s="154"/>
      <c r="GJ6" s="154"/>
      <c r="GK6" s="154"/>
      <c r="GL6" s="154"/>
      <c r="GM6" s="154"/>
      <c r="GN6" s="154"/>
      <c r="GO6" s="154"/>
      <c r="GP6" s="154"/>
      <c r="GQ6" s="154"/>
      <c r="GR6" s="154"/>
      <c r="GS6" s="154"/>
      <c r="GT6" s="154"/>
      <c r="GU6" s="154"/>
      <c r="GV6" s="154"/>
      <c r="GW6" s="154"/>
      <c r="GX6" s="154"/>
      <c r="GY6" s="154"/>
      <c r="GZ6" s="154"/>
      <c r="HA6" s="154"/>
      <c r="HB6" s="154"/>
      <c r="HC6" s="154"/>
      <c r="HD6" s="154"/>
      <c r="HE6" s="154"/>
      <c r="HF6" s="154"/>
      <c r="HG6" s="154"/>
      <c r="HH6" s="154"/>
      <c r="HI6" s="154"/>
      <c r="HJ6" s="154"/>
      <c r="HK6" s="154"/>
      <c r="HL6" s="154"/>
      <c r="HM6" s="154"/>
      <c r="HN6" s="154"/>
      <c r="HO6" s="154"/>
      <c r="HP6" s="154"/>
      <c r="HQ6" s="154"/>
      <c r="HR6" s="154"/>
      <c r="HS6" s="154"/>
      <c r="HT6" s="154"/>
      <c r="HU6" s="154"/>
      <c r="HV6" s="154"/>
      <c r="HW6" s="154"/>
      <c r="HX6" s="154"/>
      <c r="HY6" s="154"/>
      <c r="HZ6" s="154"/>
      <c r="IA6" s="154"/>
      <c r="IB6" s="154"/>
      <c r="IC6" s="154"/>
      <c r="ID6" s="154"/>
      <c r="IE6" s="154"/>
      <c r="IF6" s="154"/>
      <c r="IG6" s="154"/>
      <c r="IH6" s="154"/>
      <c r="II6" s="154"/>
      <c r="IJ6" s="154"/>
      <c r="IK6" s="154"/>
      <c r="IL6" s="154"/>
      <c r="IM6" s="154"/>
      <c r="IN6" s="154"/>
      <c r="IO6" s="154"/>
    </row>
    <row r="7" s="42" customFormat="1" ht="21" customHeight="1" spans="1:249">
      <c r="A7" s="45"/>
      <c r="B7" s="158" t="s">
        <v>126</v>
      </c>
      <c r="C7" s="159"/>
      <c r="D7" s="159" t="s">
        <v>23</v>
      </c>
      <c r="E7" s="154"/>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row>
    <row r="8" s="42" customFormat="1" ht="21" customHeight="1" spans="1:249">
      <c r="A8" s="45"/>
      <c r="B8" s="160" t="s">
        <v>127</v>
      </c>
      <c r="C8" s="159"/>
      <c r="D8" s="159"/>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G8" s="154"/>
      <c r="BH8" s="154"/>
      <c r="BI8" s="154"/>
      <c r="BJ8" s="154"/>
      <c r="BK8" s="154"/>
      <c r="BL8" s="154"/>
      <c r="BM8" s="154"/>
      <c r="BN8" s="154"/>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row>
    <row r="9" s="42" customFormat="1" ht="21" customHeight="1" spans="1:249">
      <c r="A9" s="45"/>
      <c r="B9" s="159" t="s">
        <v>128</v>
      </c>
      <c r="C9" s="159"/>
      <c r="D9" s="159"/>
      <c r="E9" s="154"/>
      <c r="F9" s="154"/>
      <c r="G9" s="154"/>
      <c r="H9" s="154"/>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154"/>
      <c r="BH9" s="154"/>
      <c r="BI9" s="154"/>
      <c r="BJ9" s="154"/>
      <c r="BK9" s="154"/>
      <c r="BL9" s="154"/>
      <c r="BM9" s="154"/>
      <c r="BN9" s="154"/>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row>
    <row r="10" s="42" customFormat="1" ht="21" customHeight="1" spans="1:249">
      <c r="A10" s="45"/>
      <c r="B10" s="160" t="s">
        <v>129</v>
      </c>
      <c r="C10" s="159"/>
      <c r="D10" s="159"/>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row>
    <row r="11" s="42" customFormat="1" ht="21" customHeight="1" spans="1:249">
      <c r="A11" s="45"/>
      <c r="B11" s="159" t="s">
        <v>130</v>
      </c>
      <c r="C11" s="159"/>
      <c r="D11" s="159"/>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row>
    <row r="12" s="42" customFormat="1" ht="21" customHeight="1" spans="1:249">
      <c r="A12" s="45"/>
      <c r="B12" s="158" t="s">
        <v>131</v>
      </c>
      <c r="C12" s="159"/>
      <c r="D12" s="159" t="s">
        <v>132</v>
      </c>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row>
    <row r="13" s="42" customFormat="1" ht="36.95" customHeight="1" spans="1:249">
      <c r="A13" s="45"/>
      <c r="B13" s="161" t="s">
        <v>133</v>
      </c>
      <c r="C13" s="159"/>
      <c r="D13" s="159"/>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54"/>
      <c r="BK13" s="154"/>
      <c r="BL13" s="154"/>
      <c r="BM13" s="154"/>
      <c r="BN13" s="154"/>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row>
    <row r="14" s="42" customFormat="1" ht="21" customHeight="1" spans="1:249">
      <c r="A14" s="45"/>
      <c r="B14" s="161" t="s">
        <v>27</v>
      </c>
      <c r="C14" s="159"/>
      <c r="D14" s="159"/>
      <c r="E14" s="154"/>
      <c r="F14" s="154"/>
      <c r="G14" s="154"/>
      <c r="H14" s="154"/>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row>
    <row r="15" s="42" customFormat="1" ht="21" customHeight="1" spans="1:249">
      <c r="A15" s="45"/>
      <c r="B15" s="161" t="s">
        <v>134</v>
      </c>
      <c r="C15" s="159"/>
      <c r="D15" s="159"/>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row>
    <row r="16" ht="21" customHeight="1" spans="1:2">
      <c r="A16" s="45"/>
      <c r="B16" s="159" t="s">
        <v>135</v>
      </c>
    </row>
  </sheetData>
  <mergeCells count="2">
    <mergeCell ref="A2:A3"/>
    <mergeCell ref="A4:A16"/>
  </mergeCells>
  <pageMargins left="0.75" right="0.75" top="1" bottom="1" header="0.509027777777778" footer="0.509027777777778"/>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workbookViewId="0">
      <selection activeCell="F367" sqref="F367"/>
    </sheetView>
  </sheetViews>
  <sheetFormatPr defaultColWidth="8" defaultRowHeight="15.6" outlineLevelCol="6"/>
  <cols>
    <col min="1" max="1" width="18.75" style="134" customWidth="1"/>
    <col min="2" max="2" width="12.75" style="134" customWidth="1"/>
    <col min="3" max="3" width="56.25" style="135" customWidth="1"/>
    <col min="4" max="4" width="19.125" style="135" customWidth="1"/>
    <col min="5" max="5" width="6.875" style="135" customWidth="1"/>
    <col min="6" max="6" width="12.625" style="135" customWidth="1"/>
    <col min="7" max="7" width="31.5" style="135" customWidth="1"/>
    <col min="8" max="256" width="8" style="135"/>
  </cols>
  <sheetData>
    <row r="1" ht="27" customHeight="1" spans="1:7">
      <c r="A1" s="136" t="s">
        <v>0</v>
      </c>
      <c r="B1" s="137"/>
      <c r="C1" s="137"/>
      <c r="D1" s="137"/>
      <c r="E1" s="137"/>
      <c r="F1" s="137"/>
      <c r="G1" s="137"/>
    </row>
    <row r="2" ht="17.1" customHeight="1" spans="1:7">
      <c r="A2" s="138" t="s">
        <v>1</v>
      </c>
      <c r="B2" s="138" t="s">
        <v>2</v>
      </c>
      <c r="C2" s="138" t="s">
        <v>3</v>
      </c>
      <c r="D2" s="138" t="s">
        <v>4</v>
      </c>
      <c r="E2" s="138" t="s">
        <v>5</v>
      </c>
      <c r="F2" s="138" t="s">
        <v>6</v>
      </c>
      <c r="G2" s="138" t="s">
        <v>7</v>
      </c>
    </row>
    <row r="3" ht="18" customHeight="1" spans="1:7">
      <c r="A3" s="139" t="s">
        <v>8</v>
      </c>
      <c r="B3" s="139" t="s">
        <v>9</v>
      </c>
      <c r="C3" s="140" t="s">
        <v>10</v>
      </c>
      <c r="D3" s="141" t="s">
        <v>11</v>
      </c>
      <c r="E3" s="142"/>
      <c r="F3" s="143" t="s">
        <v>12</v>
      </c>
      <c r="G3" s="144"/>
    </row>
    <row r="4" ht="18" customHeight="1" spans="1:7">
      <c r="A4" s="139"/>
      <c r="B4" s="139"/>
      <c r="C4" s="145" t="s">
        <v>13</v>
      </c>
      <c r="D4" s="146" t="s">
        <v>136</v>
      </c>
      <c r="E4" s="146"/>
      <c r="F4" s="146" t="s">
        <v>15</v>
      </c>
      <c r="G4" s="144"/>
    </row>
    <row r="5" ht="18" customHeight="1" spans="1:7">
      <c r="A5" s="139"/>
      <c r="B5" s="139"/>
      <c r="C5" s="145" t="s">
        <v>16</v>
      </c>
      <c r="D5" s="146" t="s">
        <v>17</v>
      </c>
      <c r="E5" s="146"/>
      <c r="F5" s="146" t="s">
        <v>15</v>
      </c>
      <c r="G5" s="144"/>
    </row>
    <row r="6" ht="18" customHeight="1" spans="1:6">
      <c r="A6" s="139"/>
      <c r="B6" s="139" t="s">
        <v>18</v>
      </c>
      <c r="C6" s="140" t="s">
        <v>19</v>
      </c>
      <c r="D6" s="143" t="s">
        <v>20</v>
      </c>
      <c r="E6" s="143"/>
      <c r="F6" s="143" t="s">
        <v>12</v>
      </c>
    </row>
    <row r="7" ht="18" customHeight="1" spans="1:6">
      <c r="A7" s="139"/>
      <c r="B7" s="139" t="s">
        <v>21</v>
      </c>
      <c r="C7" s="145" t="s">
        <v>22</v>
      </c>
      <c r="D7" s="146" t="s">
        <v>20</v>
      </c>
      <c r="E7" s="146"/>
      <c r="F7" s="146" t="s">
        <v>23</v>
      </c>
    </row>
    <row r="8" ht="18" customHeight="1" spans="1:6">
      <c r="A8" s="139"/>
      <c r="B8" s="139"/>
      <c r="C8" s="145" t="s">
        <v>24</v>
      </c>
      <c r="D8" s="146" t="s">
        <v>25</v>
      </c>
      <c r="E8" s="146"/>
      <c r="F8" s="146" t="s">
        <v>23</v>
      </c>
    </row>
    <row r="9" ht="18" customHeight="1" spans="1:6">
      <c r="A9" s="139"/>
      <c r="B9" s="139" t="s">
        <v>26</v>
      </c>
      <c r="C9" s="145" t="s">
        <v>27</v>
      </c>
      <c r="D9" s="146" t="s">
        <v>28</v>
      </c>
      <c r="E9" s="146"/>
      <c r="F9" s="146" t="s">
        <v>15</v>
      </c>
    </row>
    <row r="10" ht="18" customHeight="1" spans="1:7">
      <c r="A10" s="139" t="s">
        <v>29</v>
      </c>
      <c r="B10" s="139" t="s">
        <v>26</v>
      </c>
      <c r="C10" s="147" t="s">
        <v>30</v>
      </c>
      <c r="D10" s="148" t="s">
        <v>28</v>
      </c>
      <c r="E10" s="148"/>
      <c r="F10" s="148" t="s">
        <v>31</v>
      </c>
      <c r="G10" s="146" t="s">
        <v>32</v>
      </c>
    </row>
    <row r="11" ht="18" customHeight="1" spans="1:6">
      <c r="A11" s="139"/>
      <c r="B11" s="139"/>
      <c r="C11" s="140" t="s">
        <v>33</v>
      </c>
      <c r="D11" s="143" t="s">
        <v>34</v>
      </c>
      <c r="E11" s="143"/>
      <c r="F11" s="143" t="s">
        <v>12</v>
      </c>
    </row>
    <row r="12" ht="18" customHeight="1" spans="1:6">
      <c r="A12" s="139"/>
      <c r="B12" s="139"/>
      <c r="C12" s="140" t="s">
        <v>137</v>
      </c>
      <c r="D12" s="143" t="s">
        <v>36</v>
      </c>
      <c r="E12" s="143"/>
      <c r="F12" s="143" t="s">
        <v>12</v>
      </c>
    </row>
    <row r="13" ht="18" customHeight="1" spans="1:6">
      <c r="A13" s="139"/>
      <c r="B13" s="139"/>
      <c r="C13" s="140" t="s">
        <v>37</v>
      </c>
      <c r="D13" s="143" t="s">
        <v>36</v>
      </c>
      <c r="E13" s="143"/>
      <c r="F13" s="143" t="s">
        <v>12</v>
      </c>
    </row>
    <row r="14" ht="18" customHeight="1" spans="1:6">
      <c r="A14" s="139"/>
      <c r="B14" s="139"/>
      <c r="C14" s="140" t="s">
        <v>138</v>
      </c>
      <c r="D14" s="143" t="s">
        <v>34</v>
      </c>
      <c r="E14" s="143"/>
      <c r="F14" s="143" t="s">
        <v>12</v>
      </c>
    </row>
    <row r="15" ht="18" customHeight="1" spans="1:6">
      <c r="A15" s="139"/>
      <c r="B15" s="139"/>
      <c r="C15" s="145" t="s">
        <v>39</v>
      </c>
      <c r="D15" s="146" t="s">
        <v>28</v>
      </c>
      <c r="E15" s="146"/>
      <c r="F15" s="146" t="s">
        <v>15</v>
      </c>
    </row>
    <row r="16" ht="18" customHeight="1" spans="1:6">
      <c r="A16" s="139"/>
      <c r="B16" s="139"/>
      <c r="C16" s="140" t="s">
        <v>40</v>
      </c>
      <c r="D16" s="143" t="s">
        <v>41</v>
      </c>
      <c r="E16" s="143"/>
      <c r="F16" s="143" t="s">
        <v>12</v>
      </c>
    </row>
    <row r="17" ht="18" customHeight="1" spans="1:6">
      <c r="A17" s="139"/>
      <c r="B17" s="139"/>
      <c r="C17" s="149" t="s">
        <v>139</v>
      </c>
      <c r="D17" s="146" t="s">
        <v>28</v>
      </c>
      <c r="E17" s="139"/>
      <c r="F17" s="146" t="s">
        <v>15</v>
      </c>
    </row>
    <row r="18" ht="18" customHeight="1" spans="1:6">
      <c r="A18" s="139"/>
      <c r="B18" s="150" t="s">
        <v>42</v>
      </c>
      <c r="C18" s="145" t="s">
        <v>43</v>
      </c>
      <c r="D18" s="146" t="s">
        <v>28</v>
      </c>
      <c r="E18" s="146"/>
      <c r="F18" s="146" t="s">
        <v>15</v>
      </c>
    </row>
    <row r="19" ht="18" customHeight="1" spans="1:6">
      <c r="A19" s="139"/>
      <c r="B19" s="150"/>
      <c r="C19" s="145" t="s">
        <v>44</v>
      </c>
      <c r="D19" s="146" t="s">
        <v>28</v>
      </c>
      <c r="E19" s="146"/>
      <c r="F19" s="146" t="s">
        <v>15</v>
      </c>
    </row>
    <row r="20" ht="18" customHeight="1" spans="1:7">
      <c r="A20" s="139"/>
      <c r="B20" s="150" t="s">
        <v>45</v>
      </c>
      <c r="C20" s="151" t="s">
        <v>46</v>
      </c>
      <c r="D20" s="146" t="s">
        <v>28</v>
      </c>
      <c r="E20" s="146"/>
      <c r="F20" s="146" t="s">
        <v>23</v>
      </c>
      <c r="G20" s="146"/>
    </row>
    <row r="21" ht="18" customHeight="1" spans="1:7">
      <c r="A21" s="139"/>
      <c r="B21" s="150"/>
      <c r="C21" s="140" t="s">
        <v>47</v>
      </c>
      <c r="D21" s="143" t="s">
        <v>28</v>
      </c>
      <c r="E21" s="143"/>
      <c r="F21" s="143" t="s">
        <v>12</v>
      </c>
      <c r="G21" s="146"/>
    </row>
    <row r="22" ht="18" customHeight="1" spans="1:7">
      <c r="A22" s="139"/>
      <c r="B22" s="150"/>
      <c r="C22" s="140" t="s">
        <v>140</v>
      </c>
      <c r="D22" s="143" t="s">
        <v>28</v>
      </c>
      <c r="E22" s="143"/>
      <c r="F22" s="143" t="s">
        <v>12</v>
      </c>
      <c r="G22" s="146"/>
    </row>
    <row r="23" ht="18" customHeight="1" spans="1:7">
      <c r="A23" s="139"/>
      <c r="B23" s="150"/>
      <c r="C23" s="140" t="s">
        <v>49</v>
      </c>
      <c r="D23" s="143" t="s">
        <v>28</v>
      </c>
      <c r="E23" s="143"/>
      <c r="F23" s="143" t="s">
        <v>12</v>
      </c>
      <c r="G23" s="146" t="s">
        <v>50</v>
      </c>
    </row>
    <row r="24" ht="18" customHeight="1" spans="1:6">
      <c r="A24" s="139" t="s">
        <v>51</v>
      </c>
      <c r="B24" s="139" t="s">
        <v>52</v>
      </c>
      <c r="C24" s="145" t="s">
        <v>53</v>
      </c>
      <c r="D24" s="146" t="s">
        <v>28</v>
      </c>
      <c r="E24" s="146"/>
      <c r="F24" s="146" t="s">
        <v>15</v>
      </c>
    </row>
    <row r="25" ht="18" customHeight="1" spans="1:6">
      <c r="A25" s="139"/>
      <c r="B25" s="139"/>
      <c r="C25" s="140" t="s">
        <v>54</v>
      </c>
      <c r="D25" s="143" t="s">
        <v>28</v>
      </c>
      <c r="E25" s="143"/>
      <c r="F25" s="143" t="s">
        <v>12</v>
      </c>
    </row>
    <row r="26" ht="18" customHeight="1" spans="1:7">
      <c r="A26" s="139"/>
      <c r="B26" s="139" t="s">
        <v>55</v>
      </c>
      <c r="C26" s="152" t="s">
        <v>56</v>
      </c>
      <c r="D26" s="143" t="s">
        <v>14</v>
      </c>
      <c r="E26" s="143"/>
      <c r="F26" s="143" t="s">
        <v>12</v>
      </c>
      <c r="G26" s="146"/>
    </row>
    <row r="27" ht="18" customHeight="1" spans="1:7">
      <c r="A27" s="139"/>
      <c r="B27" s="139"/>
      <c r="C27" s="140" t="s">
        <v>57</v>
      </c>
      <c r="D27" s="143" t="s">
        <v>14</v>
      </c>
      <c r="E27" s="143"/>
      <c r="F27" s="143" t="s">
        <v>12</v>
      </c>
      <c r="G27" s="146"/>
    </row>
    <row r="29" spans="3:3">
      <c r="C29" s="146" t="s">
        <v>141</v>
      </c>
    </row>
  </sheetData>
  <mergeCells count="11">
    <mergeCell ref="A1:G1"/>
    <mergeCell ref="A3:A9"/>
    <mergeCell ref="A10:A23"/>
    <mergeCell ref="A24:A27"/>
    <mergeCell ref="B3:B5"/>
    <mergeCell ref="B7:B8"/>
    <mergeCell ref="B10:B17"/>
    <mergeCell ref="B18:B19"/>
    <mergeCell ref="B20:B23"/>
    <mergeCell ref="B24:B25"/>
    <mergeCell ref="B26:B27"/>
  </mergeCells>
  <pageMargins left="0.75" right="0.75" top="1" bottom="1" header="0.509027777777778" footer="0.509027777777778"/>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pane ySplit="1" topLeftCell="A38" activePane="bottomLeft" state="frozen"/>
      <selection/>
      <selection pane="bottomLeft" activeCell="F367" sqref="F367"/>
    </sheetView>
  </sheetViews>
  <sheetFormatPr defaultColWidth="9" defaultRowHeight="15.6"/>
  <cols>
    <col min="1" max="1" width="5.625" style="132" customWidth="1"/>
    <col min="2" max="2" width="4.5" style="132" customWidth="1"/>
    <col min="3" max="3" width="50.25" style="133" customWidth="1"/>
    <col min="4" max="4" width="57.375" style="133" customWidth="1"/>
  </cols>
  <sheetData>
    <row r="1" spans="1:4">
      <c r="A1" s="132" t="s">
        <v>142</v>
      </c>
      <c r="B1" s="132" t="s">
        <v>143</v>
      </c>
      <c r="C1" s="133" t="s">
        <v>144</v>
      </c>
      <c r="D1" s="133" t="s">
        <v>145</v>
      </c>
    </row>
    <row r="2" ht="31.2" spans="1:4">
      <c r="A2" s="132" t="s">
        <v>146</v>
      </c>
      <c r="C2" s="133" t="s">
        <v>147</v>
      </c>
      <c r="D2" s="133" t="s">
        <v>148</v>
      </c>
    </row>
    <row r="3" ht="47.1" customHeight="1" spans="1:4">
      <c r="A3" s="132">
        <v>5.19</v>
      </c>
      <c r="C3" s="133" t="s">
        <v>149</v>
      </c>
      <c r="D3" s="133" t="s">
        <v>150</v>
      </c>
    </row>
    <row r="4" ht="51.95" customHeight="1" spans="1:4">
      <c r="A4" s="132" t="s">
        <v>151</v>
      </c>
      <c r="C4" s="133" t="s">
        <v>152</v>
      </c>
      <c r="D4" s="133" t="s">
        <v>153</v>
      </c>
    </row>
    <row r="5" ht="31.2" spans="1:3">
      <c r="A5" s="132">
        <v>5.21</v>
      </c>
      <c r="C5" s="133" t="s">
        <v>154</v>
      </c>
    </row>
    <row r="6" ht="62.4" spans="1:4">
      <c r="A6" s="132" t="s">
        <v>155</v>
      </c>
      <c r="C6" s="133" t="s">
        <v>156</v>
      </c>
      <c r="D6" s="133" t="s">
        <v>157</v>
      </c>
    </row>
    <row r="8" ht="46.8" spans="1:4">
      <c r="A8" s="132" t="s">
        <v>158</v>
      </c>
      <c r="C8" s="133" t="s">
        <v>159</v>
      </c>
      <c r="D8" s="133" t="s">
        <v>160</v>
      </c>
    </row>
    <row r="9" ht="46.8" spans="1:3">
      <c r="A9" s="132" t="s">
        <v>161</v>
      </c>
      <c r="C9" s="133" t="s">
        <v>162</v>
      </c>
    </row>
    <row r="10" spans="1:3">
      <c r="A10" s="132" t="s">
        <v>163</v>
      </c>
      <c r="C10" s="133" t="s">
        <v>164</v>
      </c>
    </row>
    <row r="11" ht="31.2" spans="1:4">
      <c r="A11" s="132" t="s">
        <v>165</v>
      </c>
      <c r="C11" s="133" t="s">
        <v>166</v>
      </c>
      <c r="D11" s="133" t="s">
        <v>167</v>
      </c>
    </row>
    <row r="12" ht="31.2" spans="1:4">
      <c r="A12" s="132" t="s">
        <v>168</v>
      </c>
      <c r="C12" s="133" t="s">
        <v>169</v>
      </c>
      <c r="D12" s="133" t="s">
        <v>170</v>
      </c>
    </row>
    <row r="14" ht="31.2" spans="1:3">
      <c r="A14" s="132" t="s">
        <v>171</v>
      </c>
      <c r="C14" s="133" t="s">
        <v>172</v>
      </c>
    </row>
    <row r="15" ht="31.2" spans="1:4">
      <c r="A15" s="132" t="s">
        <v>173</v>
      </c>
      <c r="C15" s="133" t="s">
        <v>174</v>
      </c>
      <c r="D15" s="133" t="s">
        <v>175</v>
      </c>
    </row>
    <row r="16" ht="46.8" spans="1:14">
      <c r="A16" s="132" t="s">
        <v>176</v>
      </c>
      <c r="C16" s="133" t="s">
        <v>177</v>
      </c>
      <c r="D16" s="133" t="s">
        <v>178</v>
      </c>
      <c r="N16">
        <f>256376832/1024/1024</f>
        <v>244.5</v>
      </c>
    </row>
    <row r="17" ht="78" spans="1:4">
      <c r="A17" s="132" t="s">
        <v>179</v>
      </c>
      <c r="C17" s="133" t="s">
        <v>180</v>
      </c>
      <c r="D17" s="133" t="s">
        <v>181</v>
      </c>
    </row>
    <row r="18" ht="46.8" spans="1:3">
      <c r="A18" s="132" t="s">
        <v>182</v>
      </c>
      <c r="C18" s="133" t="s">
        <v>183</v>
      </c>
    </row>
    <row r="20" ht="46.8" spans="1:3">
      <c r="A20" s="132" t="s">
        <v>184</v>
      </c>
      <c r="C20" s="133" t="s">
        <v>185</v>
      </c>
    </row>
    <row r="21" ht="31.2" spans="1:3">
      <c r="A21" s="132" t="s">
        <v>186</v>
      </c>
      <c r="C21" s="133" t="s">
        <v>187</v>
      </c>
    </row>
    <row r="22" ht="46.8" spans="1:4">
      <c r="A22" s="132" t="s">
        <v>188</v>
      </c>
      <c r="C22" s="133" t="s">
        <v>189</v>
      </c>
      <c r="D22" s="133" t="s">
        <v>190</v>
      </c>
    </row>
    <row r="23" ht="31.2" spans="1:3">
      <c r="A23" s="132" t="s">
        <v>191</v>
      </c>
      <c r="B23" s="132" t="s">
        <v>192</v>
      </c>
      <c r="C23" s="133" t="s">
        <v>193</v>
      </c>
    </row>
    <row r="25" ht="31.2" spans="1:3">
      <c r="A25" s="132" t="s">
        <v>194</v>
      </c>
      <c r="C25" s="133" t="s">
        <v>195</v>
      </c>
    </row>
    <row r="26" ht="109.2" spans="1:4">
      <c r="A26" s="132" t="s">
        <v>196</v>
      </c>
      <c r="C26" s="133" t="s">
        <v>197</v>
      </c>
      <c r="D26" s="133" t="s">
        <v>198</v>
      </c>
    </row>
    <row r="27" ht="93.6" spans="1:4">
      <c r="A27" s="132" t="s">
        <v>199</v>
      </c>
      <c r="C27" s="133" t="s">
        <v>200</v>
      </c>
      <c r="D27" s="133" t="s">
        <v>201</v>
      </c>
    </row>
    <row r="28" ht="46.8" spans="1:4">
      <c r="A28" s="132" t="s">
        <v>202</v>
      </c>
      <c r="C28" s="133" t="s">
        <v>203</v>
      </c>
      <c r="D28" s="133" t="s">
        <v>204</v>
      </c>
    </row>
    <row r="29" ht="109.2" spans="1:3">
      <c r="A29" s="132" t="s">
        <v>205</v>
      </c>
      <c r="C29" s="133" t="s">
        <v>206</v>
      </c>
    </row>
    <row r="30" spans="1:3">
      <c r="A30" s="132" t="s">
        <v>207</v>
      </c>
      <c r="B30" s="132" t="s">
        <v>208</v>
      </c>
      <c r="C30" s="133" t="s">
        <v>209</v>
      </c>
    </row>
    <row r="32" ht="78" spans="1:3">
      <c r="A32" s="132" t="s">
        <v>210</v>
      </c>
      <c r="C32" s="133" t="s">
        <v>211</v>
      </c>
    </row>
    <row r="33" spans="1:3">
      <c r="A33" s="132" t="s">
        <v>212</v>
      </c>
      <c r="C33" s="133" t="s">
        <v>213</v>
      </c>
    </row>
    <row r="34" spans="1:3">
      <c r="A34" s="132" t="s">
        <v>214</v>
      </c>
      <c r="C34" s="133" t="s">
        <v>215</v>
      </c>
    </row>
    <row r="35" ht="46.8" spans="1:3">
      <c r="A35" s="132" t="s">
        <v>216</v>
      </c>
      <c r="C35" s="133" t="s">
        <v>217</v>
      </c>
    </row>
    <row r="37" spans="1:3">
      <c r="A37" s="132" t="s">
        <v>218</v>
      </c>
      <c r="C37" s="133" t="s">
        <v>219</v>
      </c>
    </row>
    <row r="38" ht="31.2" spans="1:3">
      <c r="A38" s="132" t="s">
        <v>220</v>
      </c>
      <c r="C38" s="133" t="s">
        <v>221</v>
      </c>
    </row>
    <row r="39" ht="46.8" spans="1:4">
      <c r="A39" s="132" t="s">
        <v>222</v>
      </c>
      <c r="C39" s="133" t="s">
        <v>223</v>
      </c>
      <c r="D39" s="133" t="s">
        <v>224</v>
      </c>
    </row>
    <row r="40" ht="31.2" spans="1:4">
      <c r="A40" s="132" t="s">
        <v>225</v>
      </c>
      <c r="C40" s="133" t="s">
        <v>226</v>
      </c>
      <c r="D40" s="133" t="s">
        <v>227</v>
      </c>
    </row>
    <row r="41" ht="31.2" spans="1:3">
      <c r="A41" s="132" t="s">
        <v>228</v>
      </c>
      <c r="C41" s="133" t="s">
        <v>229</v>
      </c>
    </row>
    <row r="43" spans="1:3">
      <c r="A43" s="132" t="s">
        <v>230</v>
      </c>
      <c r="C43" s="133" t="s">
        <v>231</v>
      </c>
    </row>
    <row r="44" ht="31.2" spans="1:3">
      <c r="A44" s="132" t="s">
        <v>232</v>
      </c>
      <c r="C44" s="133" t="s">
        <v>233</v>
      </c>
    </row>
    <row r="45" ht="31.2" spans="1:3">
      <c r="A45" s="132" t="s">
        <v>234</v>
      </c>
      <c r="C45" s="133" t="s">
        <v>235</v>
      </c>
    </row>
    <row r="46" spans="1:3">
      <c r="A46" s="132" t="s">
        <v>236</v>
      </c>
      <c r="C46" s="133" t="s">
        <v>237</v>
      </c>
    </row>
    <row r="47" ht="46.8" spans="1:3">
      <c r="A47" s="132" t="s">
        <v>238</v>
      </c>
      <c r="C47" s="133" t="s">
        <v>239</v>
      </c>
    </row>
    <row r="49" spans="1:3">
      <c r="A49" s="132" t="s">
        <v>240</v>
      </c>
      <c r="C49" s="133" t="s">
        <v>241</v>
      </c>
    </row>
    <row r="50" spans="1:3">
      <c r="A50" s="132" t="s">
        <v>242</v>
      </c>
      <c r="C50" s="133" t="s">
        <v>243</v>
      </c>
    </row>
    <row r="52" ht="46.8" spans="1:3">
      <c r="A52" s="132" t="s">
        <v>244</v>
      </c>
      <c r="C52" s="133" t="s">
        <v>245</v>
      </c>
    </row>
  </sheetData>
  <autoFilter ref="A1:P6">
    <extLst/>
  </autoFilter>
  <pageMargins left="0.75" right="0.75" top="1" bottom="1" header="0.509027777777778" footer="0.509027777777778"/>
  <pageSetup paperSize="9"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selection activeCell="F367" sqref="F367"/>
    </sheetView>
  </sheetViews>
  <sheetFormatPr defaultColWidth="9" defaultRowHeight="21" customHeight="1"/>
  <cols>
    <col min="1" max="1" width="7.5" style="4" customWidth="1"/>
    <col min="2" max="2" width="8.75" style="4" customWidth="1"/>
    <col min="3" max="3" width="5" style="4" customWidth="1"/>
    <col min="4" max="4" width="55.25" style="2" customWidth="1"/>
    <col min="5" max="5" width="15.75" style="2" customWidth="1"/>
    <col min="6" max="6" width="9.125" style="105" customWidth="1"/>
    <col min="7" max="7" width="12.125" style="105" customWidth="1"/>
    <col min="8" max="8" width="7.125" style="4" customWidth="1"/>
    <col min="9" max="9" width="16.125" style="4" customWidth="1"/>
    <col min="10" max="10" width="12.375" style="2" customWidth="1"/>
    <col min="11" max="256" width="9" style="2"/>
  </cols>
  <sheetData>
    <row r="1" s="115" customFormat="1" ht="33.95" customHeight="1" spans="1:9">
      <c r="A1" s="116" t="s">
        <v>246</v>
      </c>
      <c r="B1" s="116"/>
      <c r="C1" s="116"/>
      <c r="D1" s="116"/>
      <c r="E1" s="116"/>
      <c r="F1" s="117"/>
      <c r="G1" s="117"/>
      <c r="H1" s="116"/>
      <c r="I1" s="116"/>
    </row>
    <row r="2" s="40" customFormat="1" customHeight="1" spans="1:9">
      <c r="A2" s="118" t="s">
        <v>1</v>
      </c>
      <c r="B2" s="118" t="s">
        <v>247</v>
      </c>
      <c r="C2" s="118" t="s">
        <v>248</v>
      </c>
      <c r="D2" s="118" t="s">
        <v>249</v>
      </c>
      <c r="E2" s="118" t="s">
        <v>250</v>
      </c>
      <c r="F2" s="118" t="s">
        <v>251</v>
      </c>
      <c r="G2" s="118" t="s">
        <v>252</v>
      </c>
      <c r="H2" s="118" t="s">
        <v>253</v>
      </c>
      <c r="I2" s="118" t="s">
        <v>254</v>
      </c>
    </row>
    <row r="3" ht="29.1" customHeight="1" spans="1:9">
      <c r="A3" s="119" t="s">
        <v>255</v>
      </c>
      <c r="B3" s="120" t="s">
        <v>256</v>
      </c>
      <c r="C3" s="119">
        <v>1</v>
      </c>
      <c r="D3" s="121" t="s">
        <v>257</v>
      </c>
      <c r="E3" s="121" t="s">
        <v>258</v>
      </c>
      <c r="F3" s="122" t="s">
        <v>28</v>
      </c>
      <c r="G3" s="122" t="s">
        <v>259</v>
      </c>
      <c r="H3" s="119">
        <v>1</v>
      </c>
      <c r="I3" s="129">
        <v>42471</v>
      </c>
    </row>
    <row r="4" ht="30.95" customHeight="1" spans="1:9">
      <c r="A4" s="119"/>
      <c r="B4" s="123"/>
      <c r="C4" s="119">
        <v>2</v>
      </c>
      <c r="D4" s="121" t="s">
        <v>260</v>
      </c>
      <c r="E4" s="121" t="s">
        <v>261</v>
      </c>
      <c r="F4" s="122" t="s">
        <v>28</v>
      </c>
      <c r="G4" s="122" t="s">
        <v>259</v>
      </c>
      <c r="H4" s="119">
        <v>1</v>
      </c>
      <c r="I4" s="129">
        <v>42478</v>
      </c>
    </row>
    <row r="5" ht="24" customHeight="1" spans="1:9">
      <c r="A5" s="119"/>
      <c r="B5" s="124"/>
      <c r="C5" s="119">
        <v>3</v>
      </c>
      <c r="D5" s="125" t="s">
        <v>262</v>
      </c>
      <c r="E5" s="121" t="s">
        <v>263</v>
      </c>
      <c r="F5" s="122" t="s">
        <v>28</v>
      </c>
      <c r="G5" s="122" t="s">
        <v>259</v>
      </c>
      <c r="H5" s="119">
        <v>1</v>
      </c>
      <c r="I5" s="129">
        <v>42478</v>
      </c>
    </row>
    <row r="6" ht="30" customHeight="1" spans="1:9">
      <c r="A6" s="119"/>
      <c r="B6" s="120" t="s">
        <v>264</v>
      </c>
      <c r="C6" s="119">
        <v>4</v>
      </c>
      <c r="D6" s="121" t="s">
        <v>265</v>
      </c>
      <c r="E6" s="121" t="s">
        <v>266</v>
      </c>
      <c r="F6" s="122" t="s">
        <v>28</v>
      </c>
      <c r="G6" s="122" t="s">
        <v>259</v>
      </c>
      <c r="H6" s="119">
        <v>2</v>
      </c>
      <c r="I6" s="129">
        <v>42551</v>
      </c>
    </row>
    <row r="7" ht="36.95" customHeight="1" spans="1:9">
      <c r="A7" s="119"/>
      <c r="B7" s="123"/>
      <c r="C7" s="119">
        <v>5</v>
      </c>
      <c r="D7" s="121" t="s">
        <v>267</v>
      </c>
      <c r="E7" s="121" t="s">
        <v>268</v>
      </c>
      <c r="F7" s="126" t="s">
        <v>269</v>
      </c>
      <c r="G7" s="122" t="s">
        <v>270</v>
      </c>
      <c r="H7" s="119">
        <v>2</v>
      </c>
      <c r="I7" s="129">
        <v>42551</v>
      </c>
    </row>
    <row r="8" ht="59.1" customHeight="1" spans="1:9">
      <c r="A8" s="119"/>
      <c r="B8" s="124"/>
      <c r="C8" s="119">
        <v>6</v>
      </c>
      <c r="D8" s="122" t="s">
        <v>271</v>
      </c>
      <c r="E8" s="121" t="s">
        <v>272</v>
      </c>
      <c r="F8" s="122" t="s">
        <v>273</v>
      </c>
      <c r="G8" s="122" t="s">
        <v>274</v>
      </c>
      <c r="H8" s="119">
        <v>2</v>
      </c>
      <c r="I8" s="129">
        <v>42613</v>
      </c>
    </row>
    <row r="9" ht="30" customHeight="1" spans="1:9">
      <c r="A9" s="119"/>
      <c r="B9" s="127" t="s">
        <v>275</v>
      </c>
      <c r="C9" s="119">
        <v>7</v>
      </c>
      <c r="D9" s="121" t="s">
        <v>276</v>
      </c>
      <c r="E9" s="121" t="s">
        <v>272</v>
      </c>
      <c r="F9" s="122" t="s">
        <v>277</v>
      </c>
      <c r="G9" s="122" t="s">
        <v>278</v>
      </c>
      <c r="H9" s="127">
        <v>3</v>
      </c>
      <c r="I9" s="129">
        <v>42613</v>
      </c>
    </row>
    <row r="10" ht="36" customHeight="1" spans="1:9">
      <c r="A10" s="119" t="s">
        <v>279</v>
      </c>
      <c r="B10" s="127" t="s">
        <v>280</v>
      </c>
      <c r="C10" s="119">
        <v>8</v>
      </c>
      <c r="D10" s="121" t="s">
        <v>281</v>
      </c>
      <c r="E10" s="125" t="s">
        <v>282</v>
      </c>
      <c r="F10" s="122" t="s">
        <v>283</v>
      </c>
      <c r="G10" s="122" t="s">
        <v>284</v>
      </c>
      <c r="H10" s="127">
        <v>1</v>
      </c>
      <c r="I10" s="129">
        <v>42517</v>
      </c>
    </row>
    <row r="11" ht="36.95" customHeight="1" spans="1:9">
      <c r="A11" s="127"/>
      <c r="B11" s="127" t="s">
        <v>285</v>
      </c>
      <c r="C11" s="119">
        <v>9</v>
      </c>
      <c r="D11" s="121" t="s">
        <v>286</v>
      </c>
      <c r="E11" s="125" t="s">
        <v>287</v>
      </c>
      <c r="F11" s="122" t="s">
        <v>288</v>
      </c>
      <c r="G11" s="122" t="s">
        <v>289</v>
      </c>
      <c r="H11" s="127">
        <v>1</v>
      </c>
      <c r="I11" s="129">
        <v>42613</v>
      </c>
    </row>
    <row r="12" ht="36.95" customHeight="1" spans="1:9">
      <c r="A12" s="127"/>
      <c r="B12" s="127" t="s">
        <v>290</v>
      </c>
      <c r="C12" s="119">
        <v>10</v>
      </c>
      <c r="D12" s="125" t="s">
        <v>291</v>
      </c>
      <c r="E12" s="125" t="s">
        <v>292</v>
      </c>
      <c r="F12" s="126" t="s">
        <v>293</v>
      </c>
      <c r="G12" s="122" t="s">
        <v>294</v>
      </c>
      <c r="H12" s="127">
        <v>1</v>
      </c>
      <c r="I12" s="130">
        <v>42689</v>
      </c>
    </row>
    <row r="13" ht="36" customHeight="1" spans="1:9">
      <c r="A13" s="127"/>
      <c r="B13" s="127" t="s">
        <v>295</v>
      </c>
      <c r="C13" s="119">
        <v>11</v>
      </c>
      <c r="D13" s="125" t="s">
        <v>296</v>
      </c>
      <c r="E13" s="125" t="s">
        <v>292</v>
      </c>
      <c r="F13" s="122" t="s">
        <v>297</v>
      </c>
      <c r="G13" s="122" t="s">
        <v>298</v>
      </c>
      <c r="H13" s="128">
        <v>3</v>
      </c>
      <c r="I13" s="131">
        <v>42735</v>
      </c>
    </row>
    <row r="14" ht="12.95" customHeight="1"/>
    <row r="15" customHeight="1" spans="1:9">
      <c r="A15" s="127" t="s">
        <v>299</v>
      </c>
      <c r="B15" s="127"/>
      <c r="C15" s="127"/>
      <c r="D15" s="127"/>
      <c r="E15" s="127"/>
      <c r="F15" s="127"/>
      <c r="G15" s="127"/>
      <c r="H15" s="127"/>
      <c r="I15" s="127"/>
    </row>
  </sheetData>
  <mergeCells count="6">
    <mergeCell ref="A1:I1"/>
    <mergeCell ref="A15:I15"/>
    <mergeCell ref="A3:A9"/>
    <mergeCell ref="A10:A13"/>
    <mergeCell ref="B3:B5"/>
    <mergeCell ref="B6:B8"/>
  </mergeCells>
  <pageMargins left="0.75" right="0.75" top="1" bottom="1" header="0.509027777777778" footer="0.509027777777778"/>
  <pageSetup paperSize="9" orientation="portrait"/>
  <headerFooter alignWithMargins="0" scaleWithDoc="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F367" sqref="F367"/>
    </sheetView>
  </sheetViews>
  <sheetFormatPr defaultColWidth="9" defaultRowHeight="15.6" outlineLevelRow="2" outlineLevelCol="3"/>
  <cols>
    <col min="1" max="1" width="7.75" style="4" customWidth="1"/>
    <col min="2" max="2" width="7.25" style="4" customWidth="1"/>
    <col min="3" max="3" width="9" style="4"/>
    <col min="4" max="4" width="94.25" style="2" customWidth="1"/>
    <col min="5" max="256" width="9" style="2"/>
  </cols>
  <sheetData>
    <row r="1" s="78" customFormat="1" ht="21.95" customHeight="1" spans="1:4">
      <c r="A1" s="82" t="s">
        <v>142</v>
      </c>
      <c r="B1" s="82" t="s">
        <v>300</v>
      </c>
      <c r="C1" s="82" t="s">
        <v>301</v>
      </c>
      <c r="D1" s="82" t="s">
        <v>302</v>
      </c>
    </row>
    <row r="2" ht="180" spans="1:4">
      <c r="A2" s="114">
        <v>42436</v>
      </c>
      <c r="B2" s="4">
        <v>309</v>
      </c>
      <c r="C2" s="89" t="s">
        <v>303</v>
      </c>
      <c r="D2" s="85" t="s">
        <v>304</v>
      </c>
    </row>
    <row r="3" ht="84" spans="1:4">
      <c r="A3" s="114">
        <v>42443</v>
      </c>
      <c r="B3" s="4">
        <v>309</v>
      </c>
      <c r="C3" s="89" t="s">
        <v>303</v>
      </c>
      <c r="D3" s="85" t="s">
        <v>305</v>
      </c>
    </row>
  </sheetData>
  <pageMargins left="0.75" right="0.75" top="1" bottom="1" header="0.509027777777778" footer="0.509027777777778"/>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F367" sqref="F367"/>
    </sheetView>
  </sheetViews>
  <sheetFormatPr defaultColWidth="9" defaultRowHeight="15.6" outlineLevelCol="6"/>
  <cols>
    <col min="1" max="1" width="10.875" style="9" customWidth="1"/>
    <col min="2" max="2" width="5.625" style="9" customWidth="1"/>
    <col min="3" max="3" width="44.875" style="31" customWidth="1"/>
    <col min="4" max="4" width="61.25" style="31" customWidth="1"/>
    <col min="5" max="5" width="9.5" style="9" customWidth="1"/>
    <col min="6" max="6" width="9.875" style="9" customWidth="1"/>
    <col min="7" max="7" width="10.875" style="9" customWidth="1"/>
    <col min="8" max="256" width="9" style="9"/>
  </cols>
  <sheetData>
    <row r="1" ht="36" customHeight="1" spans="1:7">
      <c r="A1" s="112" t="s">
        <v>306</v>
      </c>
      <c r="B1" s="112"/>
      <c r="C1" s="113"/>
      <c r="D1" s="113"/>
      <c r="E1" s="112"/>
      <c r="F1" s="112"/>
      <c r="G1" s="112"/>
    </row>
    <row r="2" s="40" customFormat="1" ht="20.1" customHeight="1" spans="1:7">
      <c r="A2" s="40" t="s">
        <v>2</v>
      </c>
      <c r="B2" s="40" t="s">
        <v>248</v>
      </c>
      <c r="C2" s="40" t="s">
        <v>249</v>
      </c>
      <c r="D2" s="40" t="s">
        <v>307</v>
      </c>
      <c r="E2" s="40" t="s">
        <v>308</v>
      </c>
      <c r="F2" s="40" t="s">
        <v>309</v>
      </c>
      <c r="G2" s="40" t="s">
        <v>310</v>
      </c>
    </row>
    <row r="3" ht="33" customHeight="1" spans="1:6">
      <c r="A3" s="9" t="s">
        <v>311</v>
      </c>
      <c r="B3" s="9">
        <v>1</v>
      </c>
      <c r="C3" s="30" t="s">
        <v>312</v>
      </c>
      <c r="D3" s="30" t="s">
        <v>313</v>
      </c>
      <c r="E3" s="31" t="s">
        <v>314</v>
      </c>
      <c r="F3" s="9">
        <v>6.28</v>
      </c>
    </row>
    <row r="4" ht="33" customHeight="1" spans="2:6">
      <c r="B4" s="9">
        <v>2</v>
      </c>
      <c r="C4" s="31" t="s">
        <v>315</v>
      </c>
      <c r="D4" s="31" t="s">
        <v>316</v>
      </c>
      <c r="E4" s="31" t="s">
        <v>317</v>
      </c>
      <c r="F4" s="9" t="s">
        <v>220</v>
      </c>
    </row>
    <row r="5" ht="33" customHeight="1" spans="2:6">
      <c r="B5" s="9">
        <v>3</v>
      </c>
      <c r="C5" s="31" t="s">
        <v>318</v>
      </c>
      <c r="D5" s="31" t="s">
        <v>319</v>
      </c>
      <c r="E5" s="31" t="s">
        <v>317</v>
      </c>
      <c r="F5" s="9">
        <v>7.1</v>
      </c>
    </row>
    <row r="6" ht="33" customHeight="1" spans="2:6">
      <c r="B6" s="9">
        <v>4</v>
      </c>
      <c r="C6" s="31" t="s">
        <v>320</v>
      </c>
      <c r="D6" s="31" t="s">
        <v>321</v>
      </c>
      <c r="E6" s="31" t="s">
        <v>317</v>
      </c>
      <c r="F6" s="9">
        <v>7.4</v>
      </c>
    </row>
    <row r="7" ht="33" customHeight="1" spans="2:6">
      <c r="B7" s="9">
        <v>5</v>
      </c>
      <c r="C7" s="31" t="s">
        <v>322</v>
      </c>
      <c r="D7" s="31" t="s">
        <v>323</v>
      </c>
      <c r="E7" s="31" t="s">
        <v>317</v>
      </c>
      <c r="F7" s="9">
        <v>7.5</v>
      </c>
    </row>
    <row r="8" ht="33" customHeight="1" spans="1:6">
      <c r="A8" s="9" t="s">
        <v>324</v>
      </c>
      <c r="B8" s="9">
        <v>6</v>
      </c>
      <c r="C8" s="31" t="s">
        <v>325</v>
      </c>
      <c r="D8" s="31" t="s">
        <v>326</v>
      </c>
      <c r="E8" s="31" t="s">
        <v>317</v>
      </c>
      <c r="F8" s="9">
        <v>7.6</v>
      </c>
    </row>
    <row r="9" ht="33" customHeight="1" spans="2:6">
      <c r="B9" s="9">
        <v>7</v>
      </c>
      <c r="C9" s="31" t="s">
        <v>327</v>
      </c>
      <c r="D9" s="31" t="s">
        <v>328</v>
      </c>
      <c r="E9" s="31" t="s">
        <v>317</v>
      </c>
      <c r="F9" s="9">
        <v>7.7</v>
      </c>
    </row>
    <row r="10" ht="33" customHeight="1" spans="2:6">
      <c r="B10" s="9">
        <v>8</v>
      </c>
      <c r="C10" s="31" t="s">
        <v>329</v>
      </c>
      <c r="D10" s="30" t="s">
        <v>330</v>
      </c>
      <c r="E10" s="31" t="s">
        <v>317</v>
      </c>
      <c r="F10" s="9">
        <v>7.8</v>
      </c>
    </row>
    <row r="11" ht="33" customHeight="1" spans="2:6">
      <c r="B11" s="9">
        <v>9</v>
      </c>
      <c r="C11" s="31" t="s">
        <v>331</v>
      </c>
      <c r="D11" s="31" t="s">
        <v>332</v>
      </c>
      <c r="E11" s="31" t="s">
        <v>317</v>
      </c>
      <c r="F11" s="9">
        <v>7.11</v>
      </c>
    </row>
  </sheetData>
  <mergeCells count="3">
    <mergeCell ref="A1:G1"/>
    <mergeCell ref="A3:A7"/>
    <mergeCell ref="A8:A11"/>
  </mergeCells>
  <pageMargins left="0.75" right="0.75" top="1" bottom="1" header="0.509027777777778" footer="0.509027777777778"/>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22"/>
  <sheetViews>
    <sheetView topLeftCell="K4" workbookViewId="0">
      <selection activeCell="F367" sqref="F367"/>
    </sheetView>
  </sheetViews>
  <sheetFormatPr defaultColWidth="9" defaultRowHeight="15.6"/>
  <cols>
    <col min="1" max="1" width="4.625" customWidth="1"/>
    <col min="2" max="3" width="9" style="9"/>
    <col min="4" max="5" width="11.375" style="9" customWidth="1"/>
    <col min="6" max="6" width="4.75" style="9" customWidth="1"/>
    <col min="8" max="8" width="5.5" customWidth="1"/>
    <col min="9" max="9" width="4.5" customWidth="1"/>
    <col min="11" max="11" width="5.125" customWidth="1"/>
    <col min="12" max="12" width="3.75" customWidth="1"/>
    <col min="14" max="14" width="5.375" customWidth="1"/>
    <col min="15" max="15" width="12.375" customWidth="1"/>
    <col min="16" max="16" width="23.5" customWidth="1"/>
    <col min="17" max="17" width="23.625" customWidth="1"/>
    <col min="18" max="18" width="24" customWidth="1"/>
    <col min="19" max="19" width="23" customWidth="1"/>
    <col min="20" max="20" width="13" customWidth="1"/>
    <col min="21" max="21" width="13.875" customWidth="1"/>
    <col min="22" max="22" width="12.875" customWidth="1"/>
  </cols>
  <sheetData>
    <row r="1" spans="2:19">
      <c r="B1" s="9" t="s">
        <v>280</v>
      </c>
      <c r="F1" s="11"/>
      <c r="G1" t="s">
        <v>333</v>
      </c>
      <c r="H1">
        <v>12</v>
      </c>
      <c r="J1" t="s">
        <v>334</v>
      </c>
      <c r="K1">
        <v>12</v>
      </c>
      <c r="M1" t="s">
        <v>335</v>
      </c>
      <c r="N1">
        <v>273</v>
      </c>
      <c r="P1" t="s">
        <v>336</v>
      </c>
      <c r="Q1">
        <v>3520.4</v>
      </c>
      <c r="S1">
        <f>Q1/220/4</f>
        <v>4.00045454545455</v>
      </c>
    </row>
    <row r="2" ht="6" customHeight="1" spans="2:6">
      <c r="B2" s="11"/>
      <c r="C2" s="11"/>
      <c r="D2" s="11"/>
      <c r="E2" s="11"/>
      <c r="F2" s="11"/>
    </row>
    <row r="3" spans="2:21">
      <c r="B3" s="9" t="s">
        <v>337</v>
      </c>
      <c r="C3" s="9">
        <v>6</v>
      </c>
      <c r="G3" s="9" t="s">
        <v>338</v>
      </c>
      <c r="H3" s="9"/>
      <c r="I3" s="9"/>
      <c r="J3" t="s">
        <v>339</v>
      </c>
      <c r="K3">
        <v>723</v>
      </c>
      <c r="M3" t="s">
        <v>340</v>
      </c>
      <c r="N3">
        <v>99</v>
      </c>
      <c r="U3" t="s">
        <v>341</v>
      </c>
    </row>
    <row r="4" spans="2:24">
      <c r="B4" s="9" t="s">
        <v>342</v>
      </c>
      <c r="C4" s="9">
        <v>61</v>
      </c>
      <c r="D4" s="9" t="s">
        <v>343</v>
      </c>
      <c r="E4" s="9" t="s">
        <v>15</v>
      </c>
      <c r="U4" t="s">
        <v>248</v>
      </c>
      <c r="V4" t="s">
        <v>344</v>
      </c>
      <c r="W4" s="11" t="s">
        <v>345</v>
      </c>
      <c r="X4" s="11"/>
    </row>
    <row r="5" spans="4:24">
      <c r="D5" s="9">
        <v>4</v>
      </c>
      <c r="E5" s="9">
        <v>57</v>
      </c>
      <c r="G5" s="9" t="s">
        <v>335</v>
      </c>
      <c r="H5" s="9"/>
      <c r="J5" t="s">
        <v>346</v>
      </c>
      <c r="K5">
        <v>65</v>
      </c>
      <c r="M5">
        <v>719.1</v>
      </c>
      <c r="O5">
        <v>6</v>
      </c>
      <c r="P5">
        <v>187.6</v>
      </c>
      <c r="U5" s="111">
        <v>1</v>
      </c>
      <c r="V5" s="111" t="s">
        <v>347</v>
      </c>
      <c r="W5" s="111" t="s">
        <v>348</v>
      </c>
      <c r="X5" t="s">
        <v>349</v>
      </c>
    </row>
    <row r="6" spans="2:24">
      <c r="B6" s="9" t="s">
        <v>350</v>
      </c>
      <c r="C6" s="9">
        <v>194</v>
      </c>
      <c r="D6" s="9" t="s">
        <v>343</v>
      </c>
      <c r="E6" s="9" t="s">
        <v>351</v>
      </c>
      <c r="J6" t="s">
        <v>352</v>
      </c>
      <c r="K6">
        <v>43</v>
      </c>
      <c r="M6">
        <v>712</v>
      </c>
      <c r="O6">
        <v>7</v>
      </c>
      <c r="P6">
        <v>251.5</v>
      </c>
      <c r="U6" s="111">
        <v>2</v>
      </c>
      <c r="V6" s="111" t="s">
        <v>353</v>
      </c>
      <c r="W6" s="111" t="s">
        <v>348</v>
      </c>
      <c r="X6" t="s">
        <v>354</v>
      </c>
    </row>
    <row r="7" spans="4:24">
      <c r="D7" s="9">
        <f>5+155</f>
        <v>160</v>
      </c>
      <c r="E7" s="9">
        <v>34</v>
      </c>
      <c r="J7" t="s">
        <v>355</v>
      </c>
      <c r="K7">
        <v>46</v>
      </c>
      <c r="M7">
        <v>554.2</v>
      </c>
      <c r="O7">
        <v>8</v>
      </c>
      <c r="P7">
        <v>195.5</v>
      </c>
      <c r="U7" s="111">
        <v>3</v>
      </c>
      <c r="V7" s="111" t="s">
        <v>356</v>
      </c>
      <c r="W7" s="111" t="s">
        <v>348</v>
      </c>
      <c r="X7" t="s">
        <v>357</v>
      </c>
    </row>
    <row r="8" spans="2:24">
      <c r="B8" s="9" t="s">
        <v>358</v>
      </c>
      <c r="C8" s="9">
        <v>26</v>
      </c>
      <c r="D8" s="9" t="s">
        <v>343</v>
      </c>
      <c r="E8" s="9" t="s">
        <v>15</v>
      </c>
      <c r="J8" t="s">
        <v>359</v>
      </c>
      <c r="K8">
        <v>29</v>
      </c>
      <c r="M8">
        <v>388.5</v>
      </c>
      <c r="O8">
        <v>9</v>
      </c>
      <c r="P8">
        <v>123.5</v>
      </c>
      <c r="R8">
        <f>100000/33</f>
        <v>3030.30303030303</v>
      </c>
      <c r="S8">
        <f>8000000/R8</f>
        <v>2640</v>
      </c>
      <c r="U8">
        <v>4</v>
      </c>
      <c r="V8" t="s">
        <v>360</v>
      </c>
      <c r="W8" t="s">
        <v>361</v>
      </c>
      <c r="X8" t="s">
        <v>362</v>
      </c>
    </row>
    <row r="9" spans="4:24">
      <c r="D9" s="9">
        <v>12</v>
      </c>
      <c r="E9" s="9">
        <v>14</v>
      </c>
      <c r="J9" t="s">
        <v>363</v>
      </c>
      <c r="K9">
        <v>66</v>
      </c>
      <c r="M9">
        <v>708.1</v>
      </c>
      <c r="O9">
        <v>10</v>
      </c>
      <c r="P9">
        <v>453.1</v>
      </c>
      <c r="R9">
        <f>R8/3600</f>
        <v>0.841750841750842</v>
      </c>
      <c r="U9">
        <v>5</v>
      </c>
      <c r="V9" t="s">
        <v>364</v>
      </c>
      <c r="W9" t="s">
        <v>361</v>
      </c>
      <c r="X9" t="s">
        <v>365</v>
      </c>
    </row>
    <row r="10" spans="10:24">
      <c r="J10" t="s">
        <v>366</v>
      </c>
      <c r="K10">
        <v>7</v>
      </c>
      <c r="M10">
        <v>69</v>
      </c>
      <c r="O10">
        <v>11</v>
      </c>
      <c r="P10">
        <v>468.7</v>
      </c>
      <c r="U10">
        <v>6</v>
      </c>
      <c r="V10" t="s">
        <v>367</v>
      </c>
      <c r="W10" t="s">
        <v>361</v>
      </c>
      <c r="X10" t="s">
        <v>368</v>
      </c>
    </row>
    <row r="11" spans="2:24">
      <c r="B11" s="40" t="s">
        <v>12</v>
      </c>
      <c r="C11" s="40">
        <f>D9+C6+D5</f>
        <v>210</v>
      </c>
      <c r="D11" s="9" t="s">
        <v>369</v>
      </c>
      <c r="E11" s="9">
        <v>34</v>
      </c>
      <c r="J11" t="s">
        <v>370</v>
      </c>
      <c r="K11">
        <v>17</v>
      </c>
      <c r="M11">
        <v>369.5</v>
      </c>
      <c r="O11">
        <v>12</v>
      </c>
      <c r="P11">
        <v>279</v>
      </c>
      <c r="U11">
        <v>7</v>
      </c>
      <c r="V11" t="s">
        <v>371</v>
      </c>
      <c r="W11" t="s">
        <v>361</v>
      </c>
      <c r="X11" t="s">
        <v>372</v>
      </c>
    </row>
    <row r="12" spans="2:24">
      <c r="B12" s="40" t="s">
        <v>373</v>
      </c>
      <c r="C12" s="40">
        <f>E9+E5+C3</f>
        <v>77</v>
      </c>
      <c r="O12">
        <v>13</v>
      </c>
      <c r="P12">
        <v>199.1</v>
      </c>
      <c r="U12">
        <v>8</v>
      </c>
      <c r="V12" t="s">
        <v>374</v>
      </c>
      <c r="W12" t="s">
        <v>361</v>
      </c>
      <c r="X12" t="s">
        <v>375</v>
      </c>
    </row>
    <row r="13" spans="2:24">
      <c r="B13" s="40" t="s">
        <v>376</v>
      </c>
      <c r="C13" s="40">
        <v>287</v>
      </c>
      <c r="O13">
        <v>14</v>
      </c>
      <c r="P13">
        <v>152.5</v>
      </c>
      <c r="U13" s="111">
        <v>9</v>
      </c>
      <c r="V13" s="111" t="s">
        <v>377</v>
      </c>
      <c r="W13" s="111" t="s">
        <v>348</v>
      </c>
      <c r="X13" t="s">
        <v>378</v>
      </c>
    </row>
    <row r="14" spans="15:23">
      <c r="O14">
        <v>15</v>
      </c>
      <c r="P14">
        <v>519.7</v>
      </c>
      <c r="U14">
        <v>10</v>
      </c>
      <c r="V14" t="s">
        <v>379</v>
      </c>
      <c r="W14" t="s">
        <v>361</v>
      </c>
    </row>
    <row r="15" spans="15:23">
      <c r="O15">
        <v>16</v>
      </c>
      <c r="P15">
        <v>183.7</v>
      </c>
      <c r="U15">
        <v>11</v>
      </c>
      <c r="V15" t="s">
        <v>380</v>
      </c>
      <c r="W15" t="s">
        <v>361</v>
      </c>
    </row>
    <row r="17" spans="19:21">
      <c r="S17" s="9" t="s">
        <v>381</v>
      </c>
      <c r="T17" s="9"/>
      <c r="U17" s="9"/>
    </row>
    <row r="18" spans="20:21">
      <c r="T18" s="9" t="s">
        <v>382</v>
      </c>
      <c r="U18" s="9" t="s">
        <v>383</v>
      </c>
    </row>
    <row r="19" spans="19:21">
      <c r="S19" t="s">
        <v>384</v>
      </c>
      <c r="T19" s="9">
        <f>72/5</f>
        <v>14.4</v>
      </c>
      <c r="U19" s="9">
        <f>(72-50)/3</f>
        <v>7.33333333333333</v>
      </c>
    </row>
    <row r="20" spans="16:21">
      <c r="P20" s="9" t="s">
        <v>385</v>
      </c>
      <c r="Q20" s="9"/>
      <c r="R20" s="9"/>
      <c r="S20" t="s">
        <v>386</v>
      </c>
      <c r="T20" s="9">
        <f>19-12</f>
        <v>7</v>
      </c>
      <c r="U20" s="9">
        <f>19/3*2</f>
        <v>12.6666666666667</v>
      </c>
    </row>
    <row r="21" spans="16:17">
      <c r="P21" t="s">
        <v>387</v>
      </c>
      <c r="Q21">
        <v>150952</v>
      </c>
    </row>
    <row r="22" spans="16:20">
      <c r="P22" t="s">
        <v>388</v>
      </c>
      <c r="Q22">
        <v>143406</v>
      </c>
      <c r="S22" s="42" t="s">
        <v>389</v>
      </c>
      <c r="T22" s="9">
        <f>23/3+14</f>
        <v>21.6666666666667</v>
      </c>
    </row>
  </sheetData>
  <mergeCells count="9">
    <mergeCell ref="B1:E1"/>
    <mergeCell ref="G3:I3"/>
    <mergeCell ref="G5:I5"/>
    <mergeCell ref="S17:U17"/>
    <mergeCell ref="P20:Q20"/>
    <mergeCell ref="B6:B7"/>
    <mergeCell ref="B8:B9"/>
    <mergeCell ref="C6:C7"/>
    <mergeCell ref="C8:C9"/>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workbookViewId="0">
      <pane xSplit="3" ySplit="1" topLeftCell="D20" activePane="bottomRight" state="frozen"/>
      <selection/>
      <selection pane="topRight"/>
      <selection pane="bottomLeft"/>
      <selection pane="bottomRight" activeCell="F367" sqref="F367"/>
    </sheetView>
  </sheetViews>
  <sheetFormatPr defaultColWidth="9" defaultRowHeight="15.95" customHeight="1"/>
  <cols>
    <col min="1" max="1" width="5.125" style="2" customWidth="1"/>
    <col min="2" max="2" width="8.125" style="2" customWidth="1"/>
    <col min="3" max="3" width="9.5" style="2" customWidth="1"/>
    <col min="4" max="4" width="7" style="2" customWidth="1"/>
    <col min="5" max="5" width="20.875" style="2" customWidth="1"/>
    <col min="6" max="6" width="3.875" style="2" customWidth="1"/>
    <col min="7" max="7" width="20" style="2" customWidth="1"/>
    <col min="8" max="8" width="14.375" style="2" customWidth="1"/>
    <col min="9" max="9" width="18.75" style="2" customWidth="1"/>
    <col min="10" max="10" width="10.625" style="2" customWidth="1"/>
    <col min="11" max="11" width="17.75" style="2" customWidth="1"/>
    <col min="12" max="12" width="19.25" style="2" customWidth="1"/>
    <col min="13" max="13" width="11.125" style="2"/>
    <col min="14" max="257" width="9" style="2"/>
  </cols>
  <sheetData>
    <row r="1" ht="24.95" customHeight="1" spans="1:12">
      <c r="A1" s="78" t="s">
        <v>390</v>
      </c>
      <c r="B1" s="78" t="s">
        <v>391</v>
      </c>
      <c r="C1" s="78" t="s">
        <v>392</v>
      </c>
      <c r="D1" s="82" t="s">
        <v>2</v>
      </c>
      <c r="E1" s="82" t="s">
        <v>393</v>
      </c>
      <c r="F1" s="82" t="s">
        <v>394</v>
      </c>
      <c r="G1" s="78" t="s">
        <v>395</v>
      </c>
      <c r="H1" s="78" t="s">
        <v>396</v>
      </c>
      <c r="I1" s="78" t="s">
        <v>397</v>
      </c>
      <c r="J1" s="78" t="s">
        <v>398</v>
      </c>
      <c r="K1" s="78" t="s">
        <v>399</v>
      </c>
      <c r="L1" s="2" t="s">
        <v>400</v>
      </c>
    </row>
    <row r="2" ht="17.25" customHeight="1" spans="1:12">
      <c r="A2" s="103">
        <v>11.122</v>
      </c>
      <c r="B2" s="103"/>
      <c r="C2" s="104" t="s">
        <v>401</v>
      </c>
      <c r="D2" s="104"/>
      <c r="E2" s="104"/>
      <c r="F2" s="104"/>
      <c r="G2" s="104"/>
      <c r="H2" s="82" t="s">
        <v>402</v>
      </c>
      <c r="I2" s="104" t="s">
        <v>403</v>
      </c>
      <c r="J2" s="104"/>
      <c r="K2" s="104"/>
      <c r="L2" s="104"/>
    </row>
    <row r="3" ht="17.25" customHeight="1" spans="1:12">
      <c r="A3" s="103"/>
      <c r="B3" s="103"/>
      <c r="C3" s="104"/>
      <c r="D3" s="104"/>
      <c r="E3" s="104"/>
      <c r="F3" s="104"/>
      <c r="G3" s="104"/>
      <c r="H3" s="104"/>
      <c r="I3" s="82"/>
      <c r="J3" s="82"/>
      <c r="K3" s="82"/>
      <c r="L3" s="82"/>
    </row>
    <row r="4" customHeight="1" spans="1:11">
      <c r="A4" s="4" t="s">
        <v>404</v>
      </c>
      <c r="B4" s="89" t="s">
        <v>405</v>
      </c>
      <c r="C4" s="4" t="s">
        <v>406</v>
      </c>
      <c r="D4" s="4" t="s">
        <v>407</v>
      </c>
      <c r="E4" s="4" t="s">
        <v>408</v>
      </c>
      <c r="F4" s="4"/>
      <c r="G4" s="79" t="s">
        <v>409</v>
      </c>
      <c r="H4" s="79" t="s">
        <v>410</v>
      </c>
      <c r="I4" s="79" t="s">
        <v>411</v>
      </c>
      <c r="J4" s="79"/>
      <c r="K4" s="79" t="s">
        <v>412</v>
      </c>
    </row>
    <row r="5" customHeight="1" spans="1:11">
      <c r="A5" s="4"/>
      <c r="B5" s="4"/>
      <c r="C5" s="4"/>
      <c r="D5" s="4" t="s">
        <v>42</v>
      </c>
      <c r="E5" s="4" t="s">
        <v>413</v>
      </c>
      <c r="F5" s="4"/>
      <c r="G5" s="79" t="s">
        <v>414</v>
      </c>
      <c r="H5" s="79" t="s">
        <v>415</v>
      </c>
      <c r="I5" s="79"/>
      <c r="J5" s="79"/>
      <c r="K5" s="2" t="s">
        <v>416</v>
      </c>
    </row>
    <row r="6" customHeight="1" spans="1:11">
      <c r="A6" s="4"/>
      <c r="B6" s="4"/>
      <c r="C6" s="4"/>
      <c r="D6" s="4" t="s">
        <v>45</v>
      </c>
      <c r="E6" s="4" t="s">
        <v>417</v>
      </c>
      <c r="F6" s="4"/>
      <c r="G6" s="79" t="s">
        <v>418</v>
      </c>
      <c r="H6" s="79"/>
      <c r="I6" s="79"/>
      <c r="J6" s="79"/>
      <c r="K6" s="2" t="s">
        <v>419</v>
      </c>
    </row>
    <row r="7" customHeight="1" spans="1:11">
      <c r="A7" s="4"/>
      <c r="B7" s="4"/>
      <c r="C7" s="4"/>
      <c r="D7" s="4"/>
      <c r="E7" s="4"/>
      <c r="F7" s="4"/>
      <c r="G7" s="79" t="s">
        <v>420</v>
      </c>
      <c r="H7" s="79"/>
      <c r="I7" s="79"/>
      <c r="J7" s="79"/>
      <c r="K7" s="2" t="s">
        <v>421</v>
      </c>
    </row>
    <row r="8" customHeight="1" spans="1:11">
      <c r="A8" s="4"/>
      <c r="B8" s="4"/>
      <c r="C8" s="4"/>
      <c r="D8" s="4"/>
      <c r="E8" s="4"/>
      <c r="F8" s="4"/>
      <c r="G8" s="79" t="s">
        <v>422</v>
      </c>
      <c r="H8" s="79"/>
      <c r="I8" s="79"/>
      <c r="J8" s="79"/>
      <c r="K8" s="2" t="s">
        <v>423</v>
      </c>
    </row>
    <row r="9" customHeight="1" spans="1:11">
      <c r="A9" s="4"/>
      <c r="B9" s="4"/>
      <c r="C9" s="4"/>
      <c r="D9" s="4"/>
      <c r="E9" s="4" t="s">
        <v>424</v>
      </c>
      <c r="F9" s="4"/>
      <c r="G9" s="79"/>
      <c r="H9" s="79"/>
      <c r="I9" s="79"/>
      <c r="J9" s="79"/>
      <c r="K9" s="79"/>
    </row>
    <row r="10" customHeight="1" spans="1:11">
      <c r="A10" s="4"/>
      <c r="B10" s="4"/>
      <c r="C10" s="4"/>
      <c r="D10" s="4"/>
      <c r="E10" s="4" t="s">
        <v>425</v>
      </c>
      <c r="F10" s="4"/>
      <c r="G10" s="79" t="s">
        <v>426</v>
      </c>
      <c r="H10" s="79"/>
      <c r="I10" s="79"/>
      <c r="J10" s="79"/>
      <c r="K10" s="2" t="s">
        <v>427</v>
      </c>
    </row>
    <row r="11" customHeight="1" spans="1:11">
      <c r="A11" s="4"/>
      <c r="B11" s="4"/>
      <c r="C11" s="4"/>
      <c r="D11" s="4"/>
      <c r="E11" s="4"/>
      <c r="F11" s="4"/>
      <c r="G11" s="79" t="s">
        <v>428</v>
      </c>
      <c r="H11" s="79"/>
      <c r="I11" s="79"/>
      <c r="J11" s="79"/>
      <c r="K11" s="2" t="s">
        <v>429</v>
      </c>
    </row>
    <row r="12" customHeight="1" spans="1:11">
      <c r="A12" s="4"/>
      <c r="B12" s="4"/>
      <c r="C12" s="4"/>
      <c r="D12" s="4"/>
      <c r="E12" s="4"/>
      <c r="F12" s="4"/>
      <c r="G12" s="79" t="s">
        <v>430</v>
      </c>
      <c r="H12" s="79"/>
      <c r="I12" s="79"/>
      <c r="J12" s="79"/>
      <c r="K12" s="2" t="s">
        <v>431</v>
      </c>
    </row>
    <row r="13" customHeight="1" spans="1:11">
      <c r="A13" s="4"/>
      <c r="B13" s="4"/>
      <c r="C13" s="4"/>
      <c r="D13" s="4"/>
      <c r="E13" s="4"/>
      <c r="F13" s="4"/>
      <c r="G13" s="79" t="s">
        <v>432</v>
      </c>
      <c r="H13" s="79"/>
      <c r="I13" s="79"/>
      <c r="J13" s="79"/>
      <c r="K13" s="2" t="s">
        <v>433</v>
      </c>
    </row>
    <row r="14" customHeight="1" spans="1:11">
      <c r="A14" s="4"/>
      <c r="B14" s="4"/>
      <c r="C14" s="4"/>
      <c r="D14" s="4"/>
      <c r="E14" s="4" t="s">
        <v>434</v>
      </c>
      <c r="F14" s="4"/>
      <c r="G14" s="79" t="s">
        <v>435</v>
      </c>
      <c r="H14" s="79"/>
      <c r="I14" s="79"/>
      <c r="J14" s="79"/>
      <c r="K14" s="2" t="s">
        <v>436</v>
      </c>
    </row>
    <row r="15" customHeight="1" spans="1:11">
      <c r="A15" s="4"/>
      <c r="B15" s="4"/>
      <c r="C15" s="4"/>
      <c r="D15" s="4"/>
      <c r="E15" s="4"/>
      <c r="F15" s="4"/>
      <c r="G15" s="79" t="s">
        <v>437</v>
      </c>
      <c r="H15" s="79"/>
      <c r="I15" s="79"/>
      <c r="J15" s="79"/>
      <c r="K15" s="2" t="s">
        <v>438</v>
      </c>
    </row>
    <row r="16" customHeight="1" spans="1:11">
      <c r="A16" s="4"/>
      <c r="B16" s="4"/>
      <c r="C16" s="4"/>
      <c r="D16" s="4"/>
      <c r="E16" s="4"/>
      <c r="F16" s="4"/>
      <c r="G16" s="79" t="s">
        <v>439</v>
      </c>
      <c r="H16" s="79"/>
      <c r="I16" s="79"/>
      <c r="J16" s="79"/>
      <c r="K16" s="2" t="s">
        <v>440</v>
      </c>
    </row>
    <row r="17" customHeight="1" spans="1:11">
      <c r="A17" s="4"/>
      <c r="B17" s="4"/>
      <c r="C17" s="4"/>
      <c r="D17" s="4"/>
      <c r="E17" s="4"/>
      <c r="F17" s="4"/>
      <c r="G17" s="79" t="s">
        <v>441</v>
      </c>
      <c r="H17" s="79"/>
      <c r="I17" s="79"/>
      <c r="J17" s="79"/>
      <c r="K17" s="2" t="s">
        <v>442</v>
      </c>
    </row>
    <row r="18" customHeight="1" spans="1:11">
      <c r="A18" s="4"/>
      <c r="B18" s="4"/>
      <c r="C18" s="4"/>
      <c r="D18" s="4"/>
      <c r="E18" s="4"/>
      <c r="F18" s="4"/>
      <c r="G18" s="79" t="s">
        <v>443</v>
      </c>
      <c r="H18" s="79"/>
      <c r="I18" s="79"/>
      <c r="J18" s="79"/>
      <c r="K18" s="2" t="s">
        <v>444</v>
      </c>
    </row>
    <row r="19" customHeight="1" spans="1:11">
      <c r="A19" s="4"/>
      <c r="B19" s="4"/>
      <c r="C19" s="4"/>
      <c r="D19" s="4"/>
      <c r="E19" s="4" t="s">
        <v>445</v>
      </c>
      <c r="F19" s="4"/>
      <c r="G19" s="79" t="s">
        <v>446</v>
      </c>
      <c r="H19" s="79"/>
      <c r="I19" s="79"/>
      <c r="J19" s="79"/>
      <c r="K19" s="2" t="s">
        <v>447</v>
      </c>
    </row>
    <row r="20" customHeight="1" spans="1:11">
      <c r="A20" s="4"/>
      <c r="B20" s="4"/>
      <c r="C20" s="4"/>
      <c r="D20" s="4"/>
      <c r="E20" s="4"/>
      <c r="F20" s="4"/>
      <c r="G20" s="79" t="s">
        <v>448</v>
      </c>
      <c r="H20" s="79"/>
      <c r="I20" s="79"/>
      <c r="J20" s="79"/>
      <c r="K20" s="2" t="s">
        <v>449</v>
      </c>
    </row>
    <row r="21" customHeight="1" spans="1:13">
      <c r="A21" s="89" t="s">
        <v>450</v>
      </c>
      <c r="B21" s="4">
        <f>377+56</f>
        <v>433</v>
      </c>
      <c r="C21" s="105" t="s">
        <v>451</v>
      </c>
      <c r="D21" s="2" t="s">
        <v>407</v>
      </c>
      <c r="E21" s="2" t="s">
        <v>452</v>
      </c>
      <c r="G21" s="2" t="s">
        <v>453</v>
      </c>
      <c r="H21" s="2" t="s">
        <v>454</v>
      </c>
      <c r="I21" s="2" t="s">
        <v>455</v>
      </c>
      <c r="J21" s="2" t="s">
        <v>456</v>
      </c>
      <c r="L21" s="107" t="s">
        <v>457</v>
      </c>
      <c r="M21" s="2" t="s">
        <v>458</v>
      </c>
    </row>
    <row r="22" customHeight="1" spans="1:12">
      <c r="A22" s="4"/>
      <c r="B22" s="4"/>
      <c r="C22" s="105"/>
      <c r="D22" s="2" t="s">
        <v>42</v>
      </c>
      <c r="E22" s="2" t="s">
        <v>459</v>
      </c>
      <c r="G22" s="2" t="s">
        <v>460</v>
      </c>
      <c r="H22" s="2" t="s">
        <v>454</v>
      </c>
      <c r="L22" s="109" t="s">
        <v>461</v>
      </c>
    </row>
    <row r="23" customHeight="1" spans="1:12">
      <c r="A23" s="4"/>
      <c r="B23" s="4"/>
      <c r="C23" s="105"/>
      <c r="D23" s="2" t="s">
        <v>45</v>
      </c>
      <c r="E23" s="2" t="s">
        <v>462</v>
      </c>
      <c r="G23" s="2" t="s">
        <v>463</v>
      </c>
      <c r="H23" s="2" t="s">
        <v>454</v>
      </c>
      <c r="L23" s="2" t="s">
        <v>464</v>
      </c>
    </row>
    <row r="24" customHeight="1" spans="1:10">
      <c r="A24" s="89" t="s">
        <v>465</v>
      </c>
      <c r="B24" s="4"/>
      <c r="C24" s="105" t="s">
        <v>466</v>
      </c>
      <c r="D24" s="2" t="s">
        <v>407</v>
      </c>
      <c r="E24" s="2" t="s">
        <v>467</v>
      </c>
      <c r="G24" s="2" t="s">
        <v>453</v>
      </c>
      <c r="H24" s="2" t="s">
        <v>454</v>
      </c>
      <c r="I24" s="2" t="s">
        <v>468</v>
      </c>
      <c r="J24" s="2" t="s">
        <v>469</v>
      </c>
    </row>
    <row r="25" customHeight="1" spans="1:11">
      <c r="A25" s="4"/>
      <c r="B25" s="4"/>
      <c r="C25" s="105"/>
      <c r="D25" s="2" t="s">
        <v>42</v>
      </c>
      <c r="E25" s="2" t="s">
        <v>470</v>
      </c>
      <c r="G25" s="2" t="s">
        <v>471</v>
      </c>
      <c r="H25" s="2" t="s">
        <v>454</v>
      </c>
      <c r="I25" s="89" t="s">
        <v>472</v>
      </c>
      <c r="J25" s="89"/>
      <c r="K25" s="89"/>
    </row>
    <row r="26" customHeight="1" spans="1:8">
      <c r="A26" s="4"/>
      <c r="B26" s="4"/>
      <c r="C26" s="105"/>
      <c r="D26" s="2" t="s">
        <v>45</v>
      </c>
      <c r="E26" s="2" t="s">
        <v>473</v>
      </c>
      <c r="G26" s="2" t="s">
        <v>474</v>
      </c>
      <c r="H26" s="2" t="s">
        <v>454</v>
      </c>
    </row>
    <row r="27" customHeight="1" spans="1:12">
      <c r="A27" s="4" t="s">
        <v>475</v>
      </c>
      <c r="B27" s="89" t="s">
        <v>476</v>
      </c>
      <c r="C27" s="106" t="s">
        <v>477</v>
      </c>
      <c r="D27" s="2" t="s">
        <v>478</v>
      </c>
      <c r="E27" s="2" t="s">
        <v>479</v>
      </c>
      <c r="G27" s="2" t="s">
        <v>480</v>
      </c>
      <c r="H27" s="107" t="s">
        <v>481</v>
      </c>
      <c r="I27" s="107" t="s">
        <v>482</v>
      </c>
      <c r="J27" s="107" t="s">
        <v>483</v>
      </c>
      <c r="L27" s="2" t="s">
        <v>484</v>
      </c>
    </row>
    <row r="28" customHeight="1" spans="1:5">
      <c r="A28" s="4"/>
      <c r="B28" s="4"/>
      <c r="C28" s="106"/>
      <c r="D28" s="2" t="s">
        <v>485</v>
      </c>
      <c r="E28" s="2" t="s">
        <v>486</v>
      </c>
    </row>
    <row r="29" customHeight="1" spans="1:10">
      <c r="A29" s="4"/>
      <c r="B29" s="4"/>
      <c r="C29" s="105"/>
      <c r="D29" s="2" t="s">
        <v>487</v>
      </c>
      <c r="E29" s="2" t="s">
        <v>488</v>
      </c>
      <c r="G29" s="2" t="s">
        <v>489</v>
      </c>
      <c r="H29" s="2" t="s">
        <v>490</v>
      </c>
      <c r="I29" s="2" t="s">
        <v>491</v>
      </c>
      <c r="J29" s="2" t="s">
        <v>492</v>
      </c>
    </row>
    <row r="30" customHeight="1" spans="1:8">
      <c r="A30" s="4"/>
      <c r="B30" s="4"/>
      <c r="C30" s="105"/>
      <c r="D30" s="2" t="s">
        <v>42</v>
      </c>
      <c r="E30" s="2" t="s">
        <v>493</v>
      </c>
      <c r="G30" s="2" t="s">
        <v>489</v>
      </c>
      <c r="H30" s="2" t="s">
        <v>490</v>
      </c>
    </row>
    <row r="31" ht="27" customHeight="1" spans="1:8">
      <c r="A31" s="4"/>
      <c r="B31" s="4"/>
      <c r="C31" s="105"/>
      <c r="D31" s="2" t="s">
        <v>45</v>
      </c>
      <c r="E31" s="2" t="s">
        <v>494</v>
      </c>
      <c r="G31" s="2" t="s">
        <v>489</v>
      </c>
      <c r="H31" s="2" t="s">
        <v>490</v>
      </c>
    </row>
    <row r="32" customHeight="1" spans="1:10">
      <c r="A32" s="4" t="s">
        <v>62</v>
      </c>
      <c r="B32" s="89" t="s">
        <v>495</v>
      </c>
      <c r="C32" s="4" t="s">
        <v>496</v>
      </c>
      <c r="D32" s="4" t="s">
        <v>487</v>
      </c>
      <c r="E32" s="2" t="s">
        <v>497</v>
      </c>
      <c r="F32" s="2" t="s">
        <v>498</v>
      </c>
      <c r="G32" s="2" t="s">
        <v>489</v>
      </c>
      <c r="H32" s="2" t="s">
        <v>499</v>
      </c>
      <c r="I32" s="2" t="s">
        <v>500</v>
      </c>
      <c r="J32" s="2" t="s">
        <v>492</v>
      </c>
    </row>
    <row r="33" customHeight="1" spans="1:10">
      <c r="A33" s="4"/>
      <c r="B33" s="4"/>
      <c r="C33" s="4"/>
      <c r="D33" s="4"/>
      <c r="E33" s="2" t="s">
        <v>501</v>
      </c>
      <c r="F33" s="2" t="s">
        <v>502</v>
      </c>
      <c r="G33" s="2" t="s">
        <v>489</v>
      </c>
      <c r="H33" s="2" t="s">
        <v>499</v>
      </c>
      <c r="J33" s="110" t="s">
        <v>503</v>
      </c>
    </row>
    <row r="34" customHeight="1" spans="1:10">
      <c r="A34" s="4"/>
      <c r="B34" s="4"/>
      <c r="C34" s="4"/>
      <c r="D34" s="4"/>
      <c r="E34" s="2" t="s">
        <v>504</v>
      </c>
      <c r="F34" s="2" t="s">
        <v>505</v>
      </c>
      <c r="G34" s="2" t="s">
        <v>489</v>
      </c>
      <c r="H34" s="2" t="s">
        <v>499</v>
      </c>
      <c r="J34" s="110" t="s">
        <v>503</v>
      </c>
    </row>
    <row r="35" customHeight="1" spans="1:10">
      <c r="A35" s="4"/>
      <c r="B35" s="4"/>
      <c r="C35" s="4"/>
      <c r="D35" s="4"/>
      <c r="E35" s="2" t="s">
        <v>506</v>
      </c>
      <c r="F35" s="2" t="s">
        <v>507</v>
      </c>
      <c r="G35" s="2" t="s">
        <v>489</v>
      </c>
      <c r="H35" s="2" t="s">
        <v>499</v>
      </c>
      <c r="J35" s="110" t="s">
        <v>503</v>
      </c>
    </row>
    <row r="36" customHeight="1" spans="1:10">
      <c r="A36" s="4"/>
      <c r="B36" s="4"/>
      <c r="C36" s="4"/>
      <c r="D36" s="2" t="s">
        <v>478</v>
      </c>
      <c r="E36" s="2" t="s">
        <v>497</v>
      </c>
      <c r="G36" s="2" t="s">
        <v>480</v>
      </c>
      <c r="H36" s="2" t="s">
        <v>499</v>
      </c>
      <c r="J36" s="110" t="s">
        <v>503</v>
      </c>
    </row>
    <row r="37" customHeight="1" spans="7:7">
      <c r="G37" s="108"/>
    </row>
  </sheetData>
  <mergeCells count="26">
    <mergeCell ref="A2:B2"/>
    <mergeCell ref="C2:G2"/>
    <mergeCell ref="I2:L2"/>
    <mergeCell ref="A3:B3"/>
    <mergeCell ref="C3:G3"/>
    <mergeCell ref="I3:L3"/>
    <mergeCell ref="I25:K25"/>
    <mergeCell ref="A4:A20"/>
    <mergeCell ref="A21:A23"/>
    <mergeCell ref="A24:A26"/>
    <mergeCell ref="A27:A31"/>
    <mergeCell ref="A32:A36"/>
    <mergeCell ref="B4:B20"/>
    <mergeCell ref="B27:B31"/>
    <mergeCell ref="B32:B36"/>
    <mergeCell ref="C4:C20"/>
    <mergeCell ref="C21:C23"/>
    <mergeCell ref="C24:C26"/>
    <mergeCell ref="C27:C31"/>
    <mergeCell ref="C32:C36"/>
    <mergeCell ref="D6:D20"/>
    <mergeCell ref="D32:D35"/>
    <mergeCell ref="E6:E8"/>
    <mergeCell ref="E10:E13"/>
    <mergeCell ref="E14:E18"/>
    <mergeCell ref="E19:E20"/>
  </mergeCells>
  <hyperlinks>
    <hyperlink ref="L21" r:id="rId1" display="http://192.168.13.52:8904/basic（manager/123456）"/>
    <hyperlink ref="L22" r:id="rId2" display="http://192.168.13.49:8904/basic（root/abc1234）" tooltip="http://192.168.13.49:8904/basic（root/abc1234）"/>
    <hyperlink ref="H27" r:id="rId3" display="root/SINObest@root1"/>
    <hyperlink ref="J27" r:id="rId4" display="root/SINOBest@root2019,sdi/YN@sdi2019"/>
    <hyperlink ref="I27" r:id="rId5" display="sdi/SINObest@sdi1"/>
  </hyperlink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workbookViewId="0">
      <pane ySplit="1" topLeftCell="A17" activePane="bottomLeft" state="frozen"/>
      <selection/>
      <selection pane="bottomLeft" activeCell="F367" sqref="F367"/>
    </sheetView>
  </sheetViews>
  <sheetFormatPr defaultColWidth="9" defaultRowHeight="18.95" customHeight="1"/>
  <cols>
    <col min="1" max="1" width="10.375" customWidth="1"/>
    <col min="2" max="2" width="14.25" customWidth="1"/>
    <col min="3" max="3" width="15.875" customWidth="1"/>
    <col min="4" max="4" width="11" style="31" customWidth="1"/>
    <col min="5" max="5" width="7.5" style="31" customWidth="1"/>
    <col min="6" max="6" width="9.125" style="31" customWidth="1"/>
    <col min="7" max="7" width="10" customWidth="1"/>
    <col min="9" max="9" width="6" customWidth="1"/>
    <col min="10" max="10" width="27.375" customWidth="1"/>
  </cols>
  <sheetData>
    <row r="1" s="40" customFormat="1" ht="27" customHeight="1" spans="1:10">
      <c r="A1" s="102" t="s">
        <v>508</v>
      </c>
      <c r="B1" s="102" t="s">
        <v>58</v>
      </c>
      <c r="C1" s="102" t="s">
        <v>509</v>
      </c>
      <c r="D1" s="102" t="s">
        <v>510</v>
      </c>
      <c r="E1" s="102" t="s">
        <v>511</v>
      </c>
      <c r="F1" s="102" t="s">
        <v>512</v>
      </c>
      <c r="G1" s="102" t="s">
        <v>513</v>
      </c>
      <c r="H1" s="102" t="s">
        <v>514</v>
      </c>
      <c r="J1" s="101"/>
    </row>
    <row r="2" customHeight="1" spans="1:10">
      <c r="A2" s="7" t="s">
        <v>515</v>
      </c>
      <c r="B2" s="9" t="s">
        <v>516</v>
      </c>
      <c r="C2" t="s">
        <v>517</v>
      </c>
      <c r="D2" s="31" t="s">
        <v>518</v>
      </c>
      <c r="G2" t="s">
        <v>519</v>
      </c>
      <c r="J2" s="100" t="s">
        <v>520</v>
      </c>
    </row>
    <row r="3" customHeight="1" spans="1:10">
      <c r="A3" s="7"/>
      <c r="B3" s="9"/>
      <c r="C3" t="s">
        <v>521</v>
      </c>
      <c r="D3" s="31">
        <v>573238</v>
      </c>
      <c r="G3" t="s">
        <v>519</v>
      </c>
      <c r="J3" s="100"/>
    </row>
    <row r="4" customHeight="1" spans="1:10">
      <c r="A4" s="7"/>
      <c r="B4" s="9"/>
      <c r="C4" t="s">
        <v>522</v>
      </c>
      <c r="D4" s="31" t="s">
        <v>523</v>
      </c>
      <c r="G4" t="s">
        <v>519</v>
      </c>
      <c r="J4" s="100"/>
    </row>
    <row r="5" customHeight="1" spans="1:10">
      <c r="A5" s="7"/>
      <c r="B5" s="31" t="s">
        <v>524</v>
      </c>
      <c r="C5" t="s">
        <v>525</v>
      </c>
      <c r="D5" s="31">
        <v>534470</v>
      </c>
      <c r="E5" s="31">
        <v>1</v>
      </c>
      <c r="F5" s="31">
        <v>10</v>
      </c>
      <c r="G5" t="s">
        <v>526</v>
      </c>
      <c r="J5" s="100"/>
    </row>
    <row r="6" customHeight="1" spans="1:10">
      <c r="A6" s="7"/>
      <c r="B6" t="s">
        <v>527</v>
      </c>
      <c r="C6" t="s">
        <v>528</v>
      </c>
      <c r="D6" s="31" t="s">
        <v>529</v>
      </c>
      <c r="E6" s="31">
        <v>3</v>
      </c>
      <c r="F6" s="31">
        <v>3</v>
      </c>
      <c r="G6" t="s">
        <v>530</v>
      </c>
      <c r="H6" t="s">
        <v>531</v>
      </c>
      <c r="J6" s="100"/>
    </row>
    <row r="7" customHeight="1" spans="1:10">
      <c r="A7" s="7"/>
      <c r="B7" s="42" t="s">
        <v>532</v>
      </c>
      <c r="C7" s="42" t="s">
        <v>533</v>
      </c>
      <c r="D7" s="75" t="s">
        <v>534</v>
      </c>
      <c r="E7" s="31">
        <v>5</v>
      </c>
      <c r="F7" s="31">
        <v>5</v>
      </c>
      <c r="G7" t="s">
        <v>519</v>
      </c>
      <c r="H7" s="42" t="s">
        <v>535</v>
      </c>
      <c r="J7" s="100"/>
    </row>
    <row r="8" customHeight="1" spans="1:11">
      <c r="A8" s="7"/>
      <c r="B8" t="s">
        <v>536</v>
      </c>
      <c r="C8" t="s">
        <v>537</v>
      </c>
      <c r="D8" s="31" t="s">
        <v>538</v>
      </c>
      <c r="E8" s="31">
        <v>5</v>
      </c>
      <c r="F8" s="31">
        <v>4</v>
      </c>
      <c r="G8" t="s">
        <v>519</v>
      </c>
      <c r="H8" t="s">
        <v>519</v>
      </c>
      <c r="J8" s="101"/>
      <c r="K8">
        <f t="shared" ref="K8:K21" si="0">F8*366</f>
        <v>1464</v>
      </c>
    </row>
    <row r="9" customHeight="1" spans="1:11">
      <c r="A9" s="7"/>
      <c r="B9" t="s">
        <v>539</v>
      </c>
      <c r="C9" t="s">
        <v>540</v>
      </c>
      <c r="D9" s="31" t="s">
        <v>541</v>
      </c>
      <c r="E9" s="31">
        <v>10</v>
      </c>
      <c r="F9" s="31">
        <v>1</v>
      </c>
      <c r="G9" t="s">
        <v>542</v>
      </c>
      <c r="H9" t="s">
        <v>543</v>
      </c>
      <c r="J9" s="101"/>
      <c r="K9">
        <f t="shared" si="0"/>
        <v>366</v>
      </c>
    </row>
    <row r="10" customHeight="1" spans="1:11">
      <c r="A10" s="7"/>
      <c r="B10" t="s">
        <v>544</v>
      </c>
      <c r="C10" t="s">
        <v>545</v>
      </c>
      <c r="D10" s="31" t="s">
        <v>546</v>
      </c>
      <c r="E10" s="31">
        <v>10</v>
      </c>
      <c r="F10" s="31">
        <v>1</v>
      </c>
      <c r="G10" t="s">
        <v>547</v>
      </c>
      <c r="H10" t="s">
        <v>531</v>
      </c>
      <c r="J10" s="8"/>
      <c r="K10">
        <f t="shared" si="0"/>
        <v>366</v>
      </c>
    </row>
    <row r="11" customHeight="1" spans="1:11">
      <c r="A11" s="7"/>
      <c r="B11" t="s">
        <v>548</v>
      </c>
      <c r="C11" t="s">
        <v>549</v>
      </c>
      <c r="D11" s="31" t="s">
        <v>550</v>
      </c>
      <c r="E11" s="31">
        <v>1</v>
      </c>
      <c r="F11" s="31">
        <v>10</v>
      </c>
      <c r="G11" t="s">
        <v>551</v>
      </c>
      <c r="H11" t="s">
        <v>552</v>
      </c>
      <c r="J11" s="8"/>
      <c r="K11">
        <f t="shared" si="0"/>
        <v>3660</v>
      </c>
    </row>
    <row r="12" customHeight="1" spans="1:11">
      <c r="A12" s="7"/>
      <c r="B12" t="s">
        <v>553</v>
      </c>
      <c r="C12" t="s">
        <v>554</v>
      </c>
      <c r="D12" s="31" t="s">
        <v>555</v>
      </c>
      <c r="E12" s="31">
        <v>1</v>
      </c>
      <c r="F12" s="31">
        <v>3</v>
      </c>
      <c r="G12" t="s">
        <v>556</v>
      </c>
      <c r="H12" t="s">
        <v>557</v>
      </c>
      <c r="J12" s="8"/>
      <c r="K12">
        <f t="shared" si="0"/>
        <v>1098</v>
      </c>
    </row>
    <row r="13" customHeight="1" spans="1:11">
      <c r="A13" s="9"/>
      <c r="B13" t="s">
        <v>558</v>
      </c>
      <c r="C13" t="s">
        <v>559</v>
      </c>
      <c r="D13" s="31" t="s">
        <v>560</v>
      </c>
      <c r="E13" s="31">
        <v>10</v>
      </c>
      <c r="F13" s="31">
        <v>8</v>
      </c>
      <c r="G13" t="s">
        <v>561</v>
      </c>
      <c r="H13" t="s">
        <v>561</v>
      </c>
      <c r="J13" s="8"/>
      <c r="K13">
        <f t="shared" si="0"/>
        <v>2928</v>
      </c>
    </row>
    <row r="14" customHeight="1" spans="1:11">
      <c r="A14" s="9"/>
      <c r="B14" t="s">
        <v>562</v>
      </c>
      <c r="C14" t="s">
        <v>563</v>
      </c>
      <c r="D14" s="31" t="s">
        <v>564</v>
      </c>
      <c r="E14" s="31">
        <v>1</v>
      </c>
      <c r="F14" s="31">
        <v>5</v>
      </c>
      <c r="G14" t="s">
        <v>565</v>
      </c>
      <c r="J14" s="8">
        <f>365*5</f>
        <v>1825</v>
      </c>
      <c r="K14">
        <f t="shared" si="0"/>
        <v>1830</v>
      </c>
    </row>
    <row r="15" customHeight="1" spans="1:11">
      <c r="A15" s="9"/>
      <c r="B15" t="s">
        <v>566</v>
      </c>
      <c r="C15" t="s">
        <v>554</v>
      </c>
      <c r="D15" s="31" t="s">
        <v>567</v>
      </c>
      <c r="E15" s="31">
        <v>1</v>
      </c>
      <c r="F15" s="31">
        <v>10</v>
      </c>
      <c r="G15" t="s">
        <v>557</v>
      </c>
      <c r="J15" s="8"/>
      <c r="K15">
        <f t="shared" si="0"/>
        <v>3660</v>
      </c>
    </row>
    <row r="16" customHeight="1" spans="1:11">
      <c r="A16" s="9"/>
      <c r="B16" t="s">
        <v>568</v>
      </c>
      <c r="C16" t="s">
        <v>569</v>
      </c>
      <c r="D16" s="31" t="s">
        <v>570</v>
      </c>
      <c r="E16" s="31">
        <v>1</v>
      </c>
      <c r="F16" s="31">
        <v>10</v>
      </c>
      <c r="G16" t="s">
        <v>552</v>
      </c>
      <c r="K16">
        <f t="shared" si="0"/>
        <v>3660</v>
      </c>
    </row>
    <row r="17" customHeight="1" spans="1:11">
      <c r="A17" s="9"/>
      <c r="B17" t="s">
        <v>568</v>
      </c>
      <c r="C17" t="s">
        <v>571</v>
      </c>
      <c r="D17" s="31" t="s">
        <v>572</v>
      </c>
      <c r="E17" s="31">
        <v>1</v>
      </c>
      <c r="F17" s="31">
        <v>10</v>
      </c>
      <c r="G17" t="s">
        <v>531</v>
      </c>
      <c r="K17">
        <f t="shared" si="0"/>
        <v>3660</v>
      </c>
    </row>
    <row r="18" customHeight="1" spans="1:11">
      <c r="A18" s="9"/>
      <c r="B18" t="s">
        <v>568</v>
      </c>
      <c r="C18" t="s">
        <v>573</v>
      </c>
      <c r="D18" s="31" t="s">
        <v>574</v>
      </c>
      <c r="E18" s="31">
        <v>1</v>
      </c>
      <c r="F18" s="31">
        <v>3</v>
      </c>
      <c r="G18" t="s">
        <v>36</v>
      </c>
      <c r="K18">
        <f t="shared" si="0"/>
        <v>1098</v>
      </c>
    </row>
    <row r="19" customHeight="1" spans="1:11">
      <c r="A19" s="9"/>
      <c r="B19" t="s">
        <v>575</v>
      </c>
      <c r="C19" t="s">
        <v>576</v>
      </c>
      <c r="D19" s="31" t="s">
        <v>577</v>
      </c>
      <c r="E19" s="31">
        <v>0.5</v>
      </c>
      <c r="F19" s="31">
        <v>6</v>
      </c>
      <c r="G19" t="s">
        <v>578</v>
      </c>
      <c r="H19" t="s">
        <v>579</v>
      </c>
      <c r="K19">
        <f t="shared" si="0"/>
        <v>2196</v>
      </c>
    </row>
    <row r="20" customHeight="1" spans="1:11">
      <c r="A20" s="9"/>
      <c r="B20" s="100" t="s">
        <v>580</v>
      </c>
      <c r="C20" s="42" t="s">
        <v>581</v>
      </c>
      <c r="D20" s="75" t="s">
        <v>582</v>
      </c>
      <c r="E20" s="31">
        <v>0.5</v>
      </c>
      <c r="F20" s="31">
        <v>1</v>
      </c>
      <c r="G20" t="s">
        <v>578</v>
      </c>
      <c r="H20" s="42" t="s">
        <v>583</v>
      </c>
      <c r="K20">
        <f t="shared" si="0"/>
        <v>366</v>
      </c>
    </row>
    <row r="21" customHeight="1" spans="1:11">
      <c r="A21" s="9" t="s">
        <v>584</v>
      </c>
      <c r="B21" t="s">
        <v>585</v>
      </c>
      <c r="C21" t="s">
        <v>554</v>
      </c>
      <c r="D21" s="31" t="s">
        <v>555</v>
      </c>
      <c r="E21" s="31">
        <v>1</v>
      </c>
      <c r="F21" s="31">
        <v>5</v>
      </c>
      <c r="G21" t="s">
        <v>586</v>
      </c>
      <c r="H21" t="s">
        <v>557</v>
      </c>
      <c r="K21">
        <f t="shared" si="0"/>
        <v>1830</v>
      </c>
    </row>
  </sheetData>
  <mergeCells count="4">
    <mergeCell ref="A2:A12"/>
    <mergeCell ref="A13:A20"/>
    <mergeCell ref="B2:B4"/>
    <mergeCell ref="J2:J7"/>
  </mergeCells>
  <pageMargins left="0.75" right="0.75" top="1" bottom="1" header="0.509027777777778" footer="0.509027777777778"/>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F367" sqref="F367"/>
    </sheetView>
  </sheetViews>
  <sheetFormatPr defaultColWidth="9" defaultRowHeight="15.6" outlineLevelRow="4" outlineLevelCol="4"/>
  <cols>
    <col min="1" max="1" width="4.625" customWidth="1"/>
    <col min="2" max="2" width="16.875" customWidth="1"/>
    <col min="3" max="3" width="44.375" style="8" customWidth="1"/>
    <col min="4" max="4" width="25.25" style="8" customWidth="1"/>
    <col min="5" max="5" width="16.375" customWidth="1"/>
    <col min="7" max="7" width="9.375"/>
  </cols>
  <sheetData>
    <row r="1" s="9" customFormat="1" ht="20.25" customHeight="1" spans="1:4">
      <c r="A1" s="74" t="s">
        <v>248</v>
      </c>
      <c r="B1" s="74" t="s">
        <v>3</v>
      </c>
      <c r="C1" s="100" t="s">
        <v>587</v>
      </c>
      <c r="D1" s="100" t="s">
        <v>588</v>
      </c>
    </row>
    <row r="2" ht="54.75" customHeight="1" spans="1:5">
      <c r="A2">
        <v>1</v>
      </c>
      <c r="B2" s="42" t="s">
        <v>589</v>
      </c>
      <c r="C2" s="101" t="s">
        <v>590</v>
      </c>
      <c r="D2" s="101" t="s">
        <v>591</v>
      </c>
      <c r="E2" s="101" t="s">
        <v>592</v>
      </c>
    </row>
    <row r="3" ht="53.25" customHeight="1" spans="1:5">
      <c r="A3">
        <v>2</v>
      </c>
      <c r="B3" s="42" t="s">
        <v>593</v>
      </c>
      <c r="C3" s="101" t="s">
        <v>594</v>
      </c>
      <c r="D3" s="8" t="s">
        <v>595</v>
      </c>
      <c r="E3" s="42"/>
    </row>
    <row r="4" ht="67.5" customHeight="1" spans="1:4">
      <c r="A4">
        <v>3</v>
      </c>
      <c r="B4" t="s">
        <v>596</v>
      </c>
      <c r="C4" s="101" t="s">
        <v>597</v>
      </c>
      <c r="D4" s="8" t="s">
        <v>598</v>
      </c>
    </row>
    <row r="5" ht="30.75" customHeight="1" spans="1:5">
      <c r="A5">
        <v>4</v>
      </c>
      <c r="B5" s="42" t="s">
        <v>599</v>
      </c>
      <c r="C5" s="8" t="s">
        <v>600</v>
      </c>
      <c r="D5" s="8" t="s">
        <v>601</v>
      </c>
      <c r="E5" s="42"/>
    </row>
  </sheetData>
  <pageMargins left="0.699305555555556" right="0.699305555555556"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389"/>
  <sheetViews>
    <sheetView tabSelected="1" topLeftCell="A2" workbookViewId="0">
      <pane ySplit="2" topLeftCell="A59" activePane="bottomLeft" state="frozen"/>
      <selection/>
      <selection pane="bottomLeft" activeCell="F78" sqref="F78"/>
    </sheetView>
  </sheetViews>
  <sheetFormatPr defaultColWidth="9" defaultRowHeight="12"/>
  <cols>
    <col min="1" max="1" width="10.6" style="2"/>
    <col min="2" max="2" width="9" style="2"/>
    <col min="3" max="5" width="2.8" style="2" hidden="1" customWidth="1"/>
    <col min="6" max="6" width="69.1" style="2" customWidth="1"/>
    <col min="7" max="7" width="11.5" style="2"/>
    <col min="8" max="8" width="9.8" style="2" customWidth="1"/>
    <col min="9" max="9" width="7.375" style="2" customWidth="1"/>
    <col min="10" max="11" width="4.25" style="2" customWidth="1"/>
    <col min="12" max="12" width="4.75" style="2" customWidth="1"/>
    <col min="13" max="13" width="71.125" style="2" customWidth="1"/>
    <col min="14" max="14" width="12.625" style="2"/>
    <col min="15" max="15" width="9.5" style="2" customWidth="1"/>
    <col min="16" max="16" width="6.75" style="2" customWidth="1"/>
    <col min="17" max="17" width="3.375" style="2" customWidth="1"/>
    <col min="18" max="19" width="4.75" style="2" customWidth="1"/>
    <col min="20" max="20" width="71.125" style="2" customWidth="1"/>
    <col min="21" max="22" width="9" style="2"/>
    <col min="23" max="23" width="10.6" style="2"/>
    <col min="24" max="24" width="9" style="2"/>
    <col min="25" max="25" width="2.375" style="2" customWidth="1"/>
    <col min="26" max="26" width="3.5" style="2" customWidth="1"/>
    <col min="27" max="27" width="2.625" style="2" customWidth="1"/>
    <col min="28" max="28" width="91.75" style="2" customWidth="1"/>
    <col min="29" max="29" width="18.5" style="2" customWidth="1"/>
    <col min="30" max="30" width="7.75" style="2" customWidth="1"/>
    <col min="31" max="31" width="10.6" style="2"/>
    <col min="32" max="32" width="9" style="2"/>
    <col min="33" max="33" width="6.125" style="2" customWidth="1"/>
    <col min="34" max="34" width="2.75" style="2" customWidth="1"/>
    <col min="35" max="35" width="3.25" style="2" customWidth="1"/>
    <col min="36" max="36" width="79.375" style="2" customWidth="1"/>
    <col min="37" max="37" width="12.625" style="2"/>
    <col min="38" max="38" width="14.75" style="2" customWidth="1"/>
    <col min="39" max="39" width="10.375" style="4" customWidth="1"/>
    <col min="40" max="40" width="6.625" style="4" customWidth="1"/>
    <col min="41" max="41" width="4.375" style="80" customWidth="1"/>
    <col min="42" max="42" width="10.125" style="4" customWidth="1"/>
    <col min="43" max="43" width="33.75" style="81" customWidth="1"/>
    <col min="44" max="44" width="11" style="34" customWidth="1"/>
    <col min="45" max="16384" width="9" style="2"/>
  </cols>
  <sheetData>
    <row r="1" hidden="1" spans="39:40">
      <c r="AM1" s="4" t="s">
        <v>602</v>
      </c>
      <c r="AN1" s="4" t="s">
        <v>603</v>
      </c>
    </row>
    <row r="2" ht="18" customHeight="1" spans="1:42">
      <c r="A2" s="79" t="s">
        <v>604</v>
      </c>
      <c r="B2" s="79"/>
      <c r="E2" s="79"/>
      <c r="F2" s="79"/>
      <c r="H2" s="4" t="s">
        <v>605</v>
      </c>
      <c r="I2" s="4"/>
      <c r="J2" s="4"/>
      <c r="K2" s="4"/>
      <c r="L2" s="4"/>
      <c r="M2" s="4"/>
      <c r="N2" s="4"/>
      <c r="P2" s="4" t="s">
        <v>606</v>
      </c>
      <c r="Q2" s="4"/>
      <c r="R2" s="4"/>
      <c r="S2" s="4"/>
      <c r="T2" s="4"/>
      <c r="U2" s="4"/>
      <c r="V2" s="4"/>
      <c r="W2" s="4"/>
      <c r="X2" s="4" t="s">
        <v>607</v>
      </c>
      <c r="Y2" s="4"/>
      <c r="Z2" s="4"/>
      <c r="AA2" s="4"/>
      <c r="AB2" s="4"/>
      <c r="AC2" s="4"/>
      <c r="AD2" s="4"/>
      <c r="AE2" s="34" t="s">
        <v>608</v>
      </c>
      <c r="AF2" s="34" t="s">
        <v>609</v>
      </c>
      <c r="AG2" s="34" t="s">
        <v>610</v>
      </c>
      <c r="AO2" s="34"/>
      <c r="AP2" s="34"/>
    </row>
    <row r="3" s="78" customFormat="1" spans="1:44">
      <c r="A3" s="82" t="s">
        <v>142</v>
      </c>
      <c r="B3" s="82" t="s">
        <v>611</v>
      </c>
      <c r="C3" s="78" t="s">
        <v>612</v>
      </c>
      <c r="D3" s="78" t="s">
        <v>613</v>
      </c>
      <c r="E3" s="82" t="s">
        <v>614</v>
      </c>
      <c r="F3" s="83" t="s">
        <v>144</v>
      </c>
      <c r="H3" s="82" t="s">
        <v>142</v>
      </c>
      <c r="I3" s="82" t="s">
        <v>611</v>
      </c>
      <c r="J3" s="78" t="s">
        <v>612</v>
      </c>
      <c r="K3" s="78" t="s">
        <v>613</v>
      </c>
      <c r="L3" s="82" t="s">
        <v>614</v>
      </c>
      <c r="M3" s="83" t="s">
        <v>144</v>
      </c>
      <c r="O3" s="82" t="s">
        <v>142</v>
      </c>
      <c r="P3" s="82" t="s">
        <v>611</v>
      </c>
      <c r="Q3" s="86" t="s">
        <v>612</v>
      </c>
      <c r="R3" s="86" t="s">
        <v>613</v>
      </c>
      <c r="S3" s="82" t="s">
        <v>614</v>
      </c>
      <c r="T3" s="83" t="s">
        <v>144</v>
      </c>
      <c r="U3" s="87" t="s">
        <v>615</v>
      </c>
      <c r="W3" s="82" t="s">
        <v>142</v>
      </c>
      <c r="X3" s="82" t="s">
        <v>611</v>
      </c>
      <c r="Y3" s="86" t="s">
        <v>612</v>
      </c>
      <c r="Z3" s="86" t="s">
        <v>613</v>
      </c>
      <c r="AA3" s="82" t="s">
        <v>614</v>
      </c>
      <c r="AB3" s="83" t="s">
        <v>144</v>
      </c>
      <c r="AC3" s="87" t="s">
        <v>615</v>
      </c>
      <c r="AD3" s="87"/>
      <c r="AE3" s="82" t="s">
        <v>142</v>
      </c>
      <c r="AF3" s="82" t="s">
        <v>611</v>
      </c>
      <c r="AG3" s="86" t="s">
        <v>336</v>
      </c>
      <c r="AH3" s="86" t="s">
        <v>612</v>
      </c>
      <c r="AI3" s="82" t="s">
        <v>616</v>
      </c>
      <c r="AJ3" s="83" t="s">
        <v>144</v>
      </c>
      <c r="AK3" s="87" t="s">
        <v>615</v>
      </c>
      <c r="AM3" s="82" t="s">
        <v>142</v>
      </c>
      <c r="AN3" s="82" t="s">
        <v>611</v>
      </c>
      <c r="AO3" s="86" t="s">
        <v>336</v>
      </c>
      <c r="AP3" s="82" t="s">
        <v>616</v>
      </c>
      <c r="AQ3" s="83" t="s">
        <v>144</v>
      </c>
      <c r="AR3" s="87" t="s">
        <v>615</v>
      </c>
    </row>
    <row r="4" ht="12.95" customHeight="1" spans="1:40">
      <c r="A4" s="84">
        <v>44197</v>
      </c>
      <c r="B4" s="4" t="s">
        <v>617</v>
      </c>
      <c r="H4" s="84">
        <v>43831</v>
      </c>
      <c r="I4" s="4" t="s">
        <v>618</v>
      </c>
      <c r="O4" s="84">
        <v>43466</v>
      </c>
      <c r="P4" s="4" t="s">
        <v>619</v>
      </c>
      <c r="W4" s="84">
        <v>43101</v>
      </c>
      <c r="X4" s="4" t="s">
        <v>620</v>
      </c>
      <c r="AE4" s="84">
        <v>42736</v>
      </c>
      <c r="AF4" s="4" t="s">
        <v>603</v>
      </c>
      <c r="AG4" s="2">
        <v>4</v>
      </c>
      <c r="AJ4" s="2" t="s">
        <v>621</v>
      </c>
      <c r="AM4" s="84">
        <v>42401</v>
      </c>
      <c r="AN4" s="4" t="s">
        <v>620</v>
      </c>
    </row>
    <row r="5" ht="12.95" customHeight="1" spans="1:40">
      <c r="A5" s="84">
        <v>44198</v>
      </c>
      <c r="B5" s="4" t="s">
        <v>602</v>
      </c>
      <c r="H5" s="84">
        <v>43832</v>
      </c>
      <c r="I5" s="4" t="s">
        <v>622</v>
      </c>
      <c r="M5" s="2" t="s">
        <v>623</v>
      </c>
      <c r="O5" s="84">
        <v>43467</v>
      </c>
      <c r="P5" s="4" t="s">
        <v>618</v>
      </c>
      <c r="T5" s="2" t="s">
        <v>624</v>
      </c>
      <c r="W5" s="84">
        <v>43102</v>
      </c>
      <c r="X5" s="4" t="s">
        <v>619</v>
      </c>
      <c r="Y5" s="2" t="s">
        <v>625</v>
      </c>
      <c r="AB5" s="2" t="s">
        <v>626</v>
      </c>
      <c r="AC5" s="2" t="s">
        <v>627</v>
      </c>
      <c r="AE5" s="84">
        <v>42737</v>
      </c>
      <c r="AF5" s="4" t="s">
        <v>620</v>
      </c>
      <c r="AI5" s="4"/>
      <c r="AM5" s="84">
        <v>42402</v>
      </c>
      <c r="AN5" s="4" t="s">
        <v>619</v>
      </c>
    </row>
    <row r="6" ht="12.95" customHeight="1" spans="1:40">
      <c r="A6" s="84">
        <v>44199</v>
      </c>
      <c r="B6" s="4" t="s">
        <v>603</v>
      </c>
      <c r="H6" s="84">
        <v>43833</v>
      </c>
      <c r="I6" s="4" t="s">
        <v>617</v>
      </c>
      <c r="M6" s="2" t="s">
        <v>628</v>
      </c>
      <c r="O6" s="84">
        <v>43468</v>
      </c>
      <c r="P6" s="4" t="s">
        <v>622</v>
      </c>
      <c r="T6" s="2" t="s">
        <v>629</v>
      </c>
      <c r="W6" s="84">
        <v>43103</v>
      </c>
      <c r="X6" s="4" t="s">
        <v>618</v>
      </c>
      <c r="Y6" s="2" t="s">
        <v>630</v>
      </c>
      <c r="AB6" s="2" t="s">
        <v>631</v>
      </c>
      <c r="AC6" s="2" t="s">
        <v>632</v>
      </c>
      <c r="AE6" s="84">
        <v>42738</v>
      </c>
      <c r="AF6" s="4" t="s">
        <v>619</v>
      </c>
      <c r="AI6" s="4"/>
      <c r="AM6" s="84">
        <v>42403</v>
      </c>
      <c r="AN6" s="4" t="s">
        <v>618</v>
      </c>
    </row>
    <row r="7" ht="12.95" customHeight="1" spans="1:40">
      <c r="A7" s="84">
        <v>44200</v>
      </c>
      <c r="B7" s="4" t="s">
        <v>620</v>
      </c>
      <c r="F7" s="2" t="s">
        <v>633</v>
      </c>
      <c r="H7" s="84">
        <v>43834</v>
      </c>
      <c r="I7" s="4" t="s">
        <v>602</v>
      </c>
      <c r="O7" s="84">
        <v>43469</v>
      </c>
      <c r="P7" s="4" t="s">
        <v>617</v>
      </c>
      <c r="T7" s="2" t="s">
        <v>634</v>
      </c>
      <c r="W7" s="84">
        <v>43104</v>
      </c>
      <c r="X7" s="4" t="s">
        <v>622</v>
      </c>
      <c r="Y7" s="2" t="s">
        <v>635</v>
      </c>
      <c r="AB7" s="2" t="s">
        <v>636</v>
      </c>
      <c r="AC7" s="2" t="s">
        <v>637</v>
      </c>
      <c r="AE7" s="84">
        <v>42739</v>
      </c>
      <c r="AF7" s="4" t="s">
        <v>618</v>
      </c>
      <c r="AI7" s="4"/>
      <c r="AJ7" s="2" t="s">
        <v>638</v>
      </c>
      <c r="AM7" s="84">
        <v>42404</v>
      </c>
      <c r="AN7" s="4" t="s">
        <v>622</v>
      </c>
    </row>
    <row r="8" ht="12.95" customHeight="1" spans="1:40">
      <c r="A8" s="84">
        <v>44201</v>
      </c>
      <c r="B8" s="4" t="s">
        <v>619</v>
      </c>
      <c r="F8" s="2" t="s">
        <v>639</v>
      </c>
      <c r="H8" s="84">
        <v>43835</v>
      </c>
      <c r="I8" s="4" t="s">
        <v>603</v>
      </c>
      <c r="O8" s="84">
        <v>43470</v>
      </c>
      <c r="P8" s="4" t="s">
        <v>602</v>
      </c>
      <c r="T8" s="2" t="s">
        <v>640</v>
      </c>
      <c r="W8" s="84">
        <v>43105</v>
      </c>
      <c r="X8" s="4" t="s">
        <v>617</v>
      </c>
      <c r="Y8" s="2" t="s">
        <v>641</v>
      </c>
      <c r="AB8" s="2" t="s">
        <v>642</v>
      </c>
      <c r="AC8" s="2" t="s">
        <v>643</v>
      </c>
      <c r="AE8" s="84">
        <v>42740</v>
      </c>
      <c r="AF8" s="4" t="s">
        <v>622</v>
      </c>
      <c r="AI8" s="4"/>
      <c r="AJ8" s="2" t="s">
        <v>644</v>
      </c>
      <c r="AM8" s="84">
        <v>42405</v>
      </c>
      <c r="AN8" s="4" t="s">
        <v>617</v>
      </c>
    </row>
    <row r="9" ht="12.95" customHeight="1" spans="1:40">
      <c r="A9" s="84">
        <v>44202</v>
      </c>
      <c r="B9" s="4" t="s">
        <v>618</v>
      </c>
      <c r="F9" s="2" t="s">
        <v>645</v>
      </c>
      <c r="H9" s="84">
        <v>43836</v>
      </c>
      <c r="I9" s="4" t="s">
        <v>620</v>
      </c>
      <c r="M9" s="2" t="s">
        <v>646</v>
      </c>
      <c r="O9" s="84">
        <v>43471</v>
      </c>
      <c r="P9" s="4" t="s">
        <v>603</v>
      </c>
      <c r="W9" s="84">
        <v>43106</v>
      </c>
      <c r="X9" s="4" t="s">
        <v>602</v>
      </c>
      <c r="AE9" s="84">
        <v>42741</v>
      </c>
      <c r="AF9" s="4" t="s">
        <v>617</v>
      </c>
      <c r="AI9" s="4"/>
      <c r="AJ9" s="2" t="s">
        <v>647</v>
      </c>
      <c r="AM9" s="84">
        <v>42406</v>
      </c>
      <c r="AN9" s="4" t="s">
        <v>602</v>
      </c>
    </row>
    <row r="10" ht="12.95" customHeight="1" spans="1:40">
      <c r="A10" s="84">
        <v>44203</v>
      </c>
      <c r="B10" s="4" t="s">
        <v>622</v>
      </c>
      <c r="F10" s="2" t="s">
        <v>648</v>
      </c>
      <c r="H10" s="84">
        <v>43837</v>
      </c>
      <c r="I10" s="4" t="s">
        <v>619</v>
      </c>
      <c r="M10" s="2" t="s">
        <v>649</v>
      </c>
      <c r="O10" s="84">
        <v>43472</v>
      </c>
      <c r="P10" s="4" t="s">
        <v>620</v>
      </c>
      <c r="T10" s="2" t="s">
        <v>650</v>
      </c>
      <c r="W10" s="84">
        <v>43107</v>
      </c>
      <c r="X10" s="4" t="s">
        <v>603</v>
      </c>
      <c r="AE10" s="84">
        <v>42742</v>
      </c>
      <c r="AF10" s="4" t="s">
        <v>602</v>
      </c>
      <c r="AI10" s="4"/>
      <c r="AM10" s="84">
        <v>42407</v>
      </c>
      <c r="AN10" s="4" t="s">
        <v>603</v>
      </c>
    </row>
    <row r="11" ht="12.95" customHeight="1" spans="1:40">
      <c r="A11" s="84">
        <v>44204</v>
      </c>
      <c r="B11" s="4" t="s">
        <v>617</v>
      </c>
      <c r="F11" s="2" t="s">
        <v>651</v>
      </c>
      <c r="H11" s="84">
        <v>43838</v>
      </c>
      <c r="I11" s="4" t="s">
        <v>618</v>
      </c>
      <c r="M11" s="2" t="s">
        <v>652</v>
      </c>
      <c r="O11" s="84">
        <v>43473</v>
      </c>
      <c r="P11" s="4" t="s">
        <v>619</v>
      </c>
      <c r="T11" s="2" t="s">
        <v>653</v>
      </c>
      <c r="W11" s="84">
        <v>43108</v>
      </c>
      <c r="X11" s="4" t="s">
        <v>620</v>
      </c>
      <c r="Y11" s="2" t="s">
        <v>625</v>
      </c>
      <c r="AB11" s="2" t="s">
        <v>654</v>
      </c>
      <c r="AC11" s="2" t="s">
        <v>655</v>
      </c>
      <c r="AE11" s="84">
        <v>42743</v>
      </c>
      <c r="AF11" s="4" t="s">
        <v>603</v>
      </c>
      <c r="AI11" s="4"/>
      <c r="AM11" s="84">
        <v>42408</v>
      </c>
      <c r="AN11" s="4" t="s">
        <v>620</v>
      </c>
    </row>
    <row r="12" ht="12.95" customHeight="1" spans="1:40">
      <c r="A12" s="84">
        <v>44205</v>
      </c>
      <c r="B12" s="4" t="s">
        <v>602</v>
      </c>
      <c r="F12"/>
      <c r="H12" s="84">
        <v>43839</v>
      </c>
      <c r="I12" s="4" t="s">
        <v>622</v>
      </c>
      <c r="M12" s="2" t="s">
        <v>656</v>
      </c>
      <c r="O12" s="84">
        <v>43474</v>
      </c>
      <c r="P12" s="4" t="s">
        <v>618</v>
      </c>
      <c r="T12" s="2" t="s">
        <v>657</v>
      </c>
      <c r="W12" s="84">
        <v>43109</v>
      </c>
      <c r="X12" s="4" t="s">
        <v>619</v>
      </c>
      <c r="Y12" s="2" t="s">
        <v>630</v>
      </c>
      <c r="AB12" s="2" t="s">
        <v>658</v>
      </c>
      <c r="AC12" s="2" t="s">
        <v>659</v>
      </c>
      <c r="AE12" s="84">
        <v>42744</v>
      </c>
      <c r="AF12" s="4" t="s">
        <v>620</v>
      </c>
      <c r="AM12" s="84">
        <v>42409</v>
      </c>
      <c r="AN12" s="4" t="s">
        <v>619</v>
      </c>
    </row>
    <row r="13" ht="12.95" customHeight="1" spans="1:40">
      <c r="A13" s="84">
        <v>44206</v>
      </c>
      <c r="B13" s="4" t="s">
        <v>603</v>
      </c>
      <c r="H13" s="84">
        <v>43840</v>
      </c>
      <c r="I13" s="4" t="s">
        <v>617</v>
      </c>
      <c r="M13" s="2" t="s">
        <v>660</v>
      </c>
      <c r="O13" s="84">
        <v>43475</v>
      </c>
      <c r="P13" s="4" t="s">
        <v>622</v>
      </c>
      <c r="T13" s="2" t="s">
        <v>661</v>
      </c>
      <c r="W13" s="84">
        <v>43110</v>
      </c>
      <c r="X13" s="4" t="s">
        <v>618</v>
      </c>
      <c r="Y13" s="2" t="s">
        <v>635</v>
      </c>
      <c r="AB13" s="2" t="s">
        <v>662</v>
      </c>
      <c r="AC13" s="2" t="s">
        <v>663</v>
      </c>
      <c r="AE13" s="84">
        <v>42745</v>
      </c>
      <c r="AF13" s="4" t="s">
        <v>619</v>
      </c>
      <c r="AM13" s="84">
        <v>42410</v>
      </c>
      <c r="AN13" s="4" t="s">
        <v>618</v>
      </c>
    </row>
    <row r="14" ht="12.95" customHeight="1" spans="1:40">
      <c r="A14" s="84">
        <v>44207</v>
      </c>
      <c r="B14" s="4" t="s">
        <v>620</v>
      </c>
      <c r="F14" s="2" t="s">
        <v>664</v>
      </c>
      <c r="H14" s="84">
        <v>43841</v>
      </c>
      <c r="I14" s="4" t="s">
        <v>602</v>
      </c>
      <c r="O14" s="84">
        <v>43476</v>
      </c>
      <c r="P14" s="4" t="s">
        <v>617</v>
      </c>
      <c r="T14" s="2" t="s">
        <v>665</v>
      </c>
      <c r="W14" s="84">
        <v>43111</v>
      </c>
      <c r="X14" s="4" t="s">
        <v>622</v>
      </c>
      <c r="Y14" s="2" t="s">
        <v>641</v>
      </c>
      <c r="AB14" s="2" t="s">
        <v>666</v>
      </c>
      <c r="AC14" s="2" t="s">
        <v>637</v>
      </c>
      <c r="AE14" s="84">
        <v>42746</v>
      </c>
      <c r="AF14" s="4" t="s">
        <v>618</v>
      </c>
      <c r="AM14" s="84">
        <v>42411</v>
      </c>
      <c r="AN14" s="4" t="s">
        <v>622</v>
      </c>
    </row>
    <row r="15" ht="12.95" customHeight="1" spans="1:40">
      <c r="A15" s="84">
        <v>44208</v>
      </c>
      <c r="B15" s="4" t="s">
        <v>619</v>
      </c>
      <c r="F15" s="2" t="s">
        <v>667</v>
      </c>
      <c r="H15" s="84">
        <v>43842</v>
      </c>
      <c r="I15" s="4" t="s">
        <v>603</v>
      </c>
      <c r="O15" s="84">
        <v>43477</v>
      </c>
      <c r="P15" s="4" t="s">
        <v>602</v>
      </c>
      <c r="T15" s="2" t="s">
        <v>668</v>
      </c>
      <c r="W15" s="84">
        <v>43112</v>
      </c>
      <c r="X15" s="4" t="s">
        <v>617</v>
      </c>
      <c r="Y15" s="2" t="s">
        <v>625</v>
      </c>
      <c r="AB15" s="2" t="s">
        <v>669</v>
      </c>
      <c r="AC15" s="2" t="s">
        <v>670</v>
      </c>
      <c r="AE15" s="84">
        <v>42747</v>
      </c>
      <c r="AF15" s="4" t="s">
        <v>622</v>
      </c>
      <c r="AJ15" s="2" t="s">
        <v>671</v>
      </c>
      <c r="AM15" s="84">
        <v>42412</v>
      </c>
      <c r="AN15" s="4" t="s">
        <v>617</v>
      </c>
    </row>
    <row r="16" ht="12.95" customHeight="1" spans="1:40">
      <c r="A16" s="84">
        <v>44209</v>
      </c>
      <c r="B16" s="4" t="s">
        <v>618</v>
      </c>
      <c r="F16" s="2" t="s">
        <v>672</v>
      </c>
      <c r="H16" s="84">
        <v>43843</v>
      </c>
      <c r="I16" s="4" t="s">
        <v>620</v>
      </c>
      <c r="M16" s="2" t="s">
        <v>673</v>
      </c>
      <c r="O16" s="84">
        <v>43478</v>
      </c>
      <c r="P16" s="4" t="s">
        <v>603</v>
      </c>
      <c r="W16" s="84">
        <v>43113</v>
      </c>
      <c r="X16" s="4" t="s">
        <v>602</v>
      </c>
      <c r="AE16" s="84">
        <v>42748</v>
      </c>
      <c r="AF16" s="4" t="s">
        <v>617</v>
      </c>
      <c r="AJ16" s="2" t="s">
        <v>674</v>
      </c>
      <c r="AM16" s="84">
        <v>42413</v>
      </c>
      <c r="AN16" s="4" t="s">
        <v>602</v>
      </c>
    </row>
    <row r="17" ht="12.95" customHeight="1" spans="1:40">
      <c r="A17" s="84">
        <v>44210</v>
      </c>
      <c r="B17" s="4" t="s">
        <v>622</v>
      </c>
      <c r="F17" s="2" t="s">
        <v>675</v>
      </c>
      <c r="H17" s="84">
        <v>43844</v>
      </c>
      <c r="I17" s="4" t="s">
        <v>619</v>
      </c>
      <c r="M17" s="2" t="s">
        <v>676</v>
      </c>
      <c r="O17" s="84">
        <v>43479</v>
      </c>
      <c r="P17" s="4" t="s">
        <v>620</v>
      </c>
      <c r="T17" s="2" t="s">
        <v>677</v>
      </c>
      <c r="W17" s="84">
        <v>43114</v>
      </c>
      <c r="X17" s="4" t="s">
        <v>603</v>
      </c>
      <c r="AE17" s="84">
        <v>42749</v>
      </c>
      <c r="AF17" s="4" t="s">
        <v>602</v>
      </c>
      <c r="AJ17" s="2" t="s">
        <v>678</v>
      </c>
      <c r="AM17" s="84">
        <v>42414</v>
      </c>
      <c r="AN17" s="4" t="s">
        <v>603</v>
      </c>
    </row>
    <row r="18" ht="12.95" customHeight="1" spans="1:40">
      <c r="A18" s="84">
        <v>44211</v>
      </c>
      <c r="B18" s="4" t="s">
        <v>617</v>
      </c>
      <c r="F18" s="2" t="s">
        <v>679</v>
      </c>
      <c r="H18" s="84">
        <v>43845</v>
      </c>
      <c r="I18" s="4" t="s">
        <v>618</v>
      </c>
      <c r="M18" s="2" t="s">
        <v>680</v>
      </c>
      <c r="O18" s="84">
        <v>43480</v>
      </c>
      <c r="P18" s="4" t="s">
        <v>619</v>
      </c>
      <c r="T18" s="2" t="s">
        <v>681</v>
      </c>
      <c r="W18" s="84">
        <v>43115</v>
      </c>
      <c r="X18" s="4" t="s">
        <v>620</v>
      </c>
      <c r="Y18" s="2" t="s">
        <v>630</v>
      </c>
      <c r="AB18" s="2" t="s">
        <v>682</v>
      </c>
      <c r="AC18" s="2" t="s">
        <v>683</v>
      </c>
      <c r="AE18" s="84">
        <v>42750</v>
      </c>
      <c r="AF18" s="4" t="s">
        <v>603</v>
      </c>
      <c r="AM18" s="84">
        <v>42415</v>
      </c>
      <c r="AN18" s="4" t="s">
        <v>620</v>
      </c>
    </row>
    <row r="19" ht="12.95" customHeight="1" spans="1:40">
      <c r="A19" s="84">
        <v>44212</v>
      </c>
      <c r="B19" s="4" t="s">
        <v>602</v>
      </c>
      <c r="H19" s="84">
        <v>43846</v>
      </c>
      <c r="I19" s="4" t="s">
        <v>622</v>
      </c>
      <c r="M19" s="2" t="s">
        <v>684</v>
      </c>
      <c r="O19" s="84">
        <v>43481</v>
      </c>
      <c r="P19" s="4" t="s">
        <v>618</v>
      </c>
      <c r="T19" s="2" t="s">
        <v>685</v>
      </c>
      <c r="W19" s="84">
        <v>43116</v>
      </c>
      <c r="X19" s="4" t="s">
        <v>619</v>
      </c>
      <c r="Y19" s="2" t="s">
        <v>635</v>
      </c>
      <c r="AB19" s="2" t="s">
        <v>686</v>
      </c>
      <c r="AC19" s="2" t="s">
        <v>687</v>
      </c>
      <c r="AE19" s="84">
        <v>42751</v>
      </c>
      <c r="AF19" s="4" t="s">
        <v>620</v>
      </c>
      <c r="AJ19" s="2" t="s">
        <v>688</v>
      </c>
      <c r="AM19" s="84">
        <v>42416</v>
      </c>
      <c r="AN19" s="4" t="s">
        <v>619</v>
      </c>
    </row>
    <row r="20" ht="12.95" customHeight="1" spans="1:40">
      <c r="A20" s="84">
        <v>44213</v>
      </c>
      <c r="B20" s="4" t="s">
        <v>603</v>
      </c>
      <c r="H20" s="84">
        <v>43847</v>
      </c>
      <c r="I20" s="4" t="s">
        <v>617</v>
      </c>
      <c r="M20" s="2" t="s">
        <v>689</v>
      </c>
      <c r="O20" s="84">
        <v>43482</v>
      </c>
      <c r="P20" s="4" t="s">
        <v>622</v>
      </c>
      <c r="T20" s="2" t="s">
        <v>690</v>
      </c>
      <c r="W20" s="84">
        <v>43117</v>
      </c>
      <c r="X20" s="4" t="s">
        <v>618</v>
      </c>
      <c r="Y20" s="2" t="s">
        <v>641</v>
      </c>
      <c r="AB20" s="2" t="s">
        <v>691</v>
      </c>
      <c r="AC20" s="2" t="s">
        <v>637</v>
      </c>
      <c r="AE20" s="84">
        <v>42752</v>
      </c>
      <c r="AF20" s="4" t="s">
        <v>619</v>
      </c>
      <c r="AJ20" s="2" t="s">
        <v>692</v>
      </c>
      <c r="AM20" s="84">
        <v>42417</v>
      </c>
      <c r="AN20" s="4" t="s">
        <v>618</v>
      </c>
    </row>
    <row r="21" ht="12.95" customHeight="1" spans="1:40">
      <c r="A21" s="84">
        <v>44214</v>
      </c>
      <c r="B21" s="4" t="s">
        <v>620</v>
      </c>
      <c r="F21" s="2" t="s">
        <v>693</v>
      </c>
      <c r="H21" s="84">
        <v>43848</v>
      </c>
      <c r="I21" s="4" t="s">
        <v>602</v>
      </c>
      <c r="M21" s="2" t="s">
        <v>694</v>
      </c>
      <c r="O21" s="84">
        <v>43483</v>
      </c>
      <c r="P21" s="4" t="s">
        <v>617</v>
      </c>
      <c r="T21" s="2" t="s">
        <v>695</v>
      </c>
      <c r="W21" s="84">
        <v>43118</v>
      </c>
      <c r="X21" s="4" t="s">
        <v>622</v>
      </c>
      <c r="Y21" s="2" t="s">
        <v>625</v>
      </c>
      <c r="AB21" s="2" t="s">
        <v>696</v>
      </c>
      <c r="AC21" s="2" t="s">
        <v>670</v>
      </c>
      <c r="AE21" s="84">
        <v>42753</v>
      </c>
      <c r="AF21" s="4" t="s">
        <v>618</v>
      </c>
      <c r="AJ21" s="85" t="s">
        <v>697</v>
      </c>
      <c r="AM21" s="84">
        <v>42418</v>
      </c>
      <c r="AN21" s="4" t="s">
        <v>622</v>
      </c>
    </row>
    <row r="22" ht="12.95" customHeight="1" spans="1:40">
      <c r="A22" s="84">
        <v>44215</v>
      </c>
      <c r="B22" s="4" t="s">
        <v>619</v>
      </c>
      <c r="F22" s="2" t="s">
        <v>698</v>
      </c>
      <c r="H22" s="84">
        <v>43849</v>
      </c>
      <c r="I22" s="4" t="s">
        <v>603</v>
      </c>
      <c r="M22" s="2" t="s">
        <v>699</v>
      </c>
      <c r="O22" s="84">
        <v>43484</v>
      </c>
      <c r="P22" s="4" t="s">
        <v>602</v>
      </c>
      <c r="W22" s="84">
        <v>43119</v>
      </c>
      <c r="X22" s="4" t="s">
        <v>617</v>
      </c>
      <c r="Y22" s="2" t="s">
        <v>630</v>
      </c>
      <c r="AB22" s="2" t="s">
        <v>700</v>
      </c>
      <c r="AE22" s="84">
        <v>42754</v>
      </c>
      <c r="AF22" s="4" t="s">
        <v>622</v>
      </c>
      <c r="AJ22" s="2" t="s">
        <v>701</v>
      </c>
      <c r="AM22" s="84">
        <v>42419</v>
      </c>
      <c r="AN22" s="4" t="s">
        <v>617</v>
      </c>
    </row>
    <row r="23" ht="12.95" customHeight="1" spans="1:40">
      <c r="A23" s="84">
        <v>44216</v>
      </c>
      <c r="B23" s="4" t="s">
        <v>618</v>
      </c>
      <c r="F23" s="2" t="s">
        <v>702</v>
      </c>
      <c r="H23" s="84">
        <v>43850</v>
      </c>
      <c r="I23" s="4" t="s">
        <v>620</v>
      </c>
      <c r="O23" s="84">
        <v>43485</v>
      </c>
      <c r="P23" s="4" t="s">
        <v>603</v>
      </c>
      <c r="W23" s="84">
        <v>43120</v>
      </c>
      <c r="X23" s="4" t="s">
        <v>602</v>
      </c>
      <c r="AE23" s="84">
        <v>42755</v>
      </c>
      <c r="AF23" s="4" t="s">
        <v>617</v>
      </c>
      <c r="AJ23" s="2" t="s">
        <v>703</v>
      </c>
      <c r="AM23" s="84">
        <v>42420</v>
      </c>
      <c r="AN23" s="4" t="s">
        <v>602</v>
      </c>
    </row>
    <row r="24" ht="12.95" customHeight="1" spans="1:40">
      <c r="A24" s="84">
        <v>44217</v>
      </c>
      <c r="B24" s="4" t="s">
        <v>622</v>
      </c>
      <c r="F24" s="2" t="s">
        <v>704</v>
      </c>
      <c r="H24" s="84">
        <v>43851</v>
      </c>
      <c r="I24" s="4" t="s">
        <v>619</v>
      </c>
      <c r="O24" s="84">
        <v>43486</v>
      </c>
      <c r="P24" s="4" t="s">
        <v>620</v>
      </c>
      <c r="T24" s="2" t="s">
        <v>705</v>
      </c>
      <c r="W24" s="84">
        <v>43121</v>
      </c>
      <c r="X24" s="4" t="s">
        <v>603</v>
      </c>
      <c r="AE24" s="84">
        <v>42756</v>
      </c>
      <c r="AF24" s="4" t="s">
        <v>602</v>
      </c>
      <c r="AJ24" s="2" t="s">
        <v>706</v>
      </c>
      <c r="AM24" s="84">
        <v>42421</v>
      </c>
      <c r="AN24" s="4" t="s">
        <v>603</v>
      </c>
    </row>
    <row r="25" ht="12.95" customHeight="1" spans="1:43">
      <c r="A25" s="84">
        <v>44218</v>
      </c>
      <c r="B25" s="4" t="s">
        <v>617</v>
      </c>
      <c r="F25" s="2" t="s">
        <v>707</v>
      </c>
      <c r="H25" s="84">
        <v>43852</v>
      </c>
      <c r="I25" s="4" t="s">
        <v>618</v>
      </c>
      <c r="O25" s="84">
        <v>43487</v>
      </c>
      <c r="P25" s="4" t="s">
        <v>619</v>
      </c>
      <c r="T25" s="2" t="s">
        <v>708</v>
      </c>
      <c r="W25" s="84">
        <v>43122</v>
      </c>
      <c r="X25" s="4" t="s">
        <v>620</v>
      </c>
      <c r="Y25" s="2" t="s">
        <v>635</v>
      </c>
      <c r="AB25" s="2" t="s">
        <v>709</v>
      </c>
      <c r="AC25" s="2" t="s">
        <v>710</v>
      </c>
      <c r="AE25" s="84">
        <v>42757</v>
      </c>
      <c r="AF25" s="4" t="s">
        <v>603</v>
      </c>
      <c r="AM25" s="84">
        <v>42422</v>
      </c>
      <c r="AN25" s="4" t="s">
        <v>620</v>
      </c>
      <c r="AQ25" s="81" t="s">
        <v>711</v>
      </c>
    </row>
    <row r="26" ht="12.95" customHeight="1" spans="1:43">
      <c r="A26" s="84">
        <v>44219</v>
      </c>
      <c r="B26" s="4" t="s">
        <v>602</v>
      </c>
      <c r="H26" s="84">
        <v>43853</v>
      </c>
      <c r="I26" s="4" t="s">
        <v>622</v>
      </c>
      <c r="O26" s="84">
        <v>43488</v>
      </c>
      <c r="P26" s="4" t="s">
        <v>618</v>
      </c>
      <c r="T26" s="2" t="s">
        <v>712</v>
      </c>
      <c r="W26" s="84">
        <v>43123</v>
      </c>
      <c r="X26" s="4" t="s">
        <v>619</v>
      </c>
      <c r="Y26" s="2" t="s">
        <v>641</v>
      </c>
      <c r="AB26" s="2" t="s">
        <v>713</v>
      </c>
      <c r="AC26" s="2" t="s">
        <v>714</v>
      </c>
      <c r="AE26" s="84">
        <v>42758</v>
      </c>
      <c r="AF26" s="4" t="s">
        <v>620</v>
      </c>
      <c r="AM26" s="84">
        <v>42423</v>
      </c>
      <c r="AN26" s="4" t="s">
        <v>619</v>
      </c>
      <c r="AQ26" s="81" t="s">
        <v>715</v>
      </c>
    </row>
    <row r="27" ht="12.95" customHeight="1" spans="1:43">
      <c r="A27" s="84">
        <v>44220</v>
      </c>
      <c r="B27" s="4" t="s">
        <v>603</v>
      </c>
      <c r="H27" s="84">
        <v>43854</v>
      </c>
      <c r="I27" s="4" t="s">
        <v>617</v>
      </c>
      <c r="O27" s="84">
        <v>43489</v>
      </c>
      <c r="P27" s="4" t="s">
        <v>622</v>
      </c>
      <c r="T27" s="2" t="s">
        <v>716</v>
      </c>
      <c r="W27" s="84">
        <v>43124</v>
      </c>
      <c r="X27" s="4" t="s">
        <v>618</v>
      </c>
      <c r="Y27" s="2" t="s">
        <v>625</v>
      </c>
      <c r="AB27" s="2" t="s">
        <v>717</v>
      </c>
      <c r="AC27" s="2" t="s">
        <v>718</v>
      </c>
      <c r="AE27" s="84">
        <v>42759</v>
      </c>
      <c r="AF27" s="4" t="s">
        <v>619</v>
      </c>
      <c r="AM27" s="84">
        <v>42424</v>
      </c>
      <c r="AN27" s="4" t="s">
        <v>618</v>
      </c>
      <c r="AQ27" s="81" t="s">
        <v>719</v>
      </c>
    </row>
    <row r="28" ht="12.95" customHeight="1" spans="1:43">
      <c r="A28" s="84">
        <v>44221</v>
      </c>
      <c r="B28" s="4" t="s">
        <v>620</v>
      </c>
      <c r="F28" s="2" t="s">
        <v>720</v>
      </c>
      <c r="H28" s="84">
        <v>43855</v>
      </c>
      <c r="I28" s="4" t="s">
        <v>602</v>
      </c>
      <c r="M28" s="85"/>
      <c r="O28" s="84">
        <v>43490</v>
      </c>
      <c r="P28" s="4" t="s">
        <v>617</v>
      </c>
      <c r="R28" s="2">
        <v>5</v>
      </c>
      <c r="S28" s="2" t="s">
        <v>721</v>
      </c>
      <c r="T28" s="85" t="s">
        <v>722</v>
      </c>
      <c r="W28" s="84">
        <v>43125</v>
      </c>
      <c r="X28" s="4" t="s">
        <v>622</v>
      </c>
      <c r="Y28" s="2" t="s">
        <v>630</v>
      </c>
      <c r="AB28" s="2" t="s">
        <v>723</v>
      </c>
      <c r="AC28" s="2" t="s">
        <v>724</v>
      </c>
      <c r="AE28" s="84">
        <v>42760</v>
      </c>
      <c r="AF28" s="4" t="s">
        <v>618</v>
      </c>
      <c r="AM28" s="84">
        <v>42425</v>
      </c>
      <c r="AN28" s="4" t="s">
        <v>622</v>
      </c>
      <c r="AO28" s="80">
        <v>1</v>
      </c>
      <c r="AQ28" s="81" t="s">
        <v>725</v>
      </c>
    </row>
    <row r="29" ht="12.95" customHeight="1" spans="1:43">
      <c r="A29" s="84">
        <v>44222</v>
      </c>
      <c r="B29" s="4" t="s">
        <v>619</v>
      </c>
      <c r="F29" s="2" t="s">
        <v>726</v>
      </c>
      <c r="H29" s="84">
        <v>43856</v>
      </c>
      <c r="I29" s="4" t="s">
        <v>603</v>
      </c>
      <c r="M29" s="85"/>
      <c r="O29" s="84">
        <v>43491</v>
      </c>
      <c r="P29" s="4" t="s">
        <v>602</v>
      </c>
      <c r="R29" s="2">
        <v>13</v>
      </c>
      <c r="S29" s="2" t="s">
        <v>721</v>
      </c>
      <c r="T29" s="85" t="s">
        <v>727</v>
      </c>
      <c r="W29" s="84">
        <v>43126</v>
      </c>
      <c r="X29" s="4" t="s">
        <v>617</v>
      </c>
      <c r="Y29" s="2" t="s">
        <v>635</v>
      </c>
      <c r="AB29" s="2" t="s">
        <v>728</v>
      </c>
      <c r="AE29" s="84">
        <v>42761</v>
      </c>
      <c r="AF29" s="4" t="s">
        <v>622</v>
      </c>
      <c r="AM29" s="84">
        <v>42426</v>
      </c>
      <c r="AN29" s="4" t="s">
        <v>617</v>
      </c>
      <c r="AQ29" s="81" t="s">
        <v>729</v>
      </c>
    </row>
    <row r="30" ht="12.95" customHeight="1" spans="1:43">
      <c r="A30" s="84">
        <v>44223</v>
      </c>
      <c r="B30" s="4" t="s">
        <v>618</v>
      </c>
      <c r="F30" s="2" t="s">
        <v>730</v>
      </c>
      <c r="H30" s="84">
        <v>43857</v>
      </c>
      <c r="I30" s="4" t="s">
        <v>620</v>
      </c>
      <c r="M30" s="85"/>
      <c r="O30" s="84">
        <v>43492</v>
      </c>
      <c r="P30" s="4" t="s">
        <v>603</v>
      </c>
      <c r="R30" s="2">
        <v>12</v>
      </c>
      <c r="S30" s="2" t="s">
        <v>721</v>
      </c>
      <c r="T30" s="85" t="s">
        <v>731</v>
      </c>
      <c r="W30" s="84">
        <v>43127</v>
      </c>
      <c r="X30" s="4" t="s">
        <v>602</v>
      </c>
      <c r="Y30" s="2" t="s">
        <v>641</v>
      </c>
      <c r="AB30" s="2" t="s">
        <v>732</v>
      </c>
      <c r="AE30" s="84">
        <v>42762</v>
      </c>
      <c r="AF30" s="4" t="s">
        <v>617</v>
      </c>
      <c r="AM30" s="84">
        <v>42427</v>
      </c>
      <c r="AN30" s="4" t="s">
        <v>602</v>
      </c>
      <c r="AO30" s="80">
        <v>8</v>
      </c>
      <c r="AQ30" s="81" t="s">
        <v>733</v>
      </c>
    </row>
    <row r="31" ht="12.95" customHeight="1" spans="1:44">
      <c r="A31" s="84">
        <v>44224</v>
      </c>
      <c r="B31" s="4" t="s">
        <v>622</v>
      </c>
      <c r="F31" s="2" t="s">
        <v>734</v>
      </c>
      <c r="H31" s="84">
        <v>43858</v>
      </c>
      <c r="I31" s="4" t="s">
        <v>619</v>
      </c>
      <c r="M31" s="85"/>
      <c r="O31" s="84">
        <v>43493</v>
      </c>
      <c r="P31" s="4" t="s">
        <v>620</v>
      </c>
      <c r="R31" s="2">
        <v>5</v>
      </c>
      <c r="S31" s="2" t="s">
        <v>721</v>
      </c>
      <c r="T31" s="85" t="s">
        <v>735</v>
      </c>
      <c r="W31" s="84">
        <v>43128</v>
      </c>
      <c r="X31" s="4" t="s">
        <v>603</v>
      </c>
      <c r="AE31" s="84">
        <v>42763</v>
      </c>
      <c r="AF31" s="4" t="s">
        <v>602</v>
      </c>
      <c r="AM31" s="84">
        <v>42428</v>
      </c>
      <c r="AN31" s="4" t="s">
        <v>603</v>
      </c>
      <c r="AR31" s="81"/>
    </row>
    <row r="32" ht="12.95" customHeight="1" spans="1:43">
      <c r="A32" s="84">
        <v>44225</v>
      </c>
      <c r="B32" s="4" t="s">
        <v>617</v>
      </c>
      <c r="F32" s="2" t="s">
        <v>736</v>
      </c>
      <c r="H32" s="84">
        <v>43859</v>
      </c>
      <c r="I32" s="4" t="s">
        <v>618</v>
      </c>
      <c r="M32" s="85"/>
      <c r="O32" s="84">
        <v>43494</v>
      </c>
      <c r="P32" s="4" t="s">
        <v>619</v>
      </c>
      <c r="R32" s="2">
        <v>7</v>
      </c>
      <c r="S32" s="2" t="s">
        <v>721</v>
      </c>
      <c r="T32" s="85" t="s">
        <v>737</v>
      </c>
      <c r="W32" s="84">
        <v>43129</v>
      </c>
      <c r="X32" s="4" t="s">
        <v>620</v>
      </c>
      <c r="Y32" s="2" t="s">
        <v>625</v>
      </c>
      <c r="AB32" s="2" t="s">
        <v>738</v>
      </c>
      <c r="AC32" s="2" t="s">
        <v>739</v>
      </c>
      <c r="AE32" s="84">
        <v>42764</v>
      </c>
      <c r="AF32" s="4" t="s">
        <v>603</v>
      </c>
      <c r="AM32" s="84">
        <v>42429</v>
      </c>
      <c r="AN32" s="4" t="s">
        <v>620</v>
      </c>
      <c r="AO32" s="80">
        <v>1</v>
      </c>
      <c r="AP32" s="89" t="s">
        <v>740</v>
      </c>
      <c r="AQ32" s="81" t="s">
        <v>741</v>
      </c>
    </row>
    <row r="33" ht="12.95" customHeight="1" spans="1:43">
      <c r="A33" s="84">
        <v>44226</v>
      </c>
      <c r="B33" s="4" t="s">
        <v>602</v>
      </c>
      <c r="F33" s="2" t="s">
        <v>742</v>
      </c>
      <c r="H33" s="84">
        <v>43860</v>
      </c>
      <c r="I33" s="4" t="s">
        <v>622</v>
      </c>
      <c r="O33" s="84">
        <v>43495</v>
      </c>
      <c r="P33" s="4" t="s">
        <v>618</v>
      </c>
      <c r="S33" s="2" t="s">
        <v>721</v>
      </c>
      <c r="T33" s="2" t="s">
        <v>743</v>
      </c>
      <c r="W33" s="84">
        <v>43130</v>
      </c>
      <c r="X33" s="4" t="s">
        <v>619</v>
      </c>
      <c r="Y33" s="2" t="s">
        <v>630</v>
      </c>
      <c r="AB33" s="2" t="s">
        <v>744</v>
      </c>
      <c r="AC33" s="2" t="s">
        <v>745</v>
      </c>
      <c r="AE33" s="84">
        <v>42765</v>
      </c>
      <c r="AF33" s="4" t="s">
        <v>620</v>
      </c>
      <c r="AM33" s="84">
        <v>42430</v>
      </c>
      <c r="AN33" s="4" t="s">
        <v>619</v>
      </c>
      <c r="AO33" s="80">
        <v>1</v>
      </c>
      <c r="AQ33" s="81" t="s">
        <v>746</v>
      </c>
    </row>
    <row r="34" ht="12.95" customHeight="1" spans="1:43">
      <c r="A34" s="84">
        <v>44227</v>
      </c>
      <c r="B34" s="4" t="s">
        <v>603</v>
      </c>
      <c r="H34" s="84">
        <v>43861</v>
      </c>
      <c r="I34" s="4" t="s">
        <v>617</v>
      </c>
      <c r="O34" s="84">
        <v>43496</v>
      </c>
      <c r="P34" s="4" t="s">
        <v>622</v>
      </c>
      <c r="W34" s="84">
        <v>43131</v>
      </c>
      <c r="X34" s="4" t="s">
        <v>618</v>
      </c>
      <c r="Y34" s="2" t="s">
        <v>635</v>
      </c>
      <c r="AB34" s="2" t="s">
        <v>747</v>
      </c>
      <c r="AC34" s="2" t="s">
        <v>748</v>
      </c>
      <c r="AE34" s="84">
        <v>42766</v>
      </c>
      <c r="AF34" s="4" t="s">
        <v>619</v>
      </c>
      <c r="AM34" s="84">
        <v>42431</v>
      </c>
      <c r="AN34" s="4" t="s">
        <v>618</v>
      </c>
      <c r="AO34" s="80">
        <v>1</v>
      </c>
      <c r="AQ34" s="81" t="s">
        <v>749</v>
      </c>
    </row>
    <row r="35" ht="12.95" customHeight="1" spans="1:43">
      <c r="A35" s="84">
        <v>44228</v>
      </c>
      <c r="B35" s="4" t="s">
        <v>620</v>
      </c>
      <c r="F35" s="2" t="s">
        <v>750</v>
      </c>
      <c r="H35" s="84">
        <v>43862</v>
      </c>
      <c r="I35" s="4" t="s">
        <v>602</v>
      </c>
      <c r="O35" s="84">
        <v>43497</v>
      </c>
      <c r="P35" s="4" t="s">
        <v>617</v>
      </c>
      <c r="R35" s="2">
        <v>3</v>
      </c>
      <c r="T35" s="2" t="s">
        <v>751</v>
      </c>
      <c r="W35" s="84">
        <v>43132</v>
      </c>
      <c r="X35" s="4" t="s">
        <v>622</v>
      </c>
      <c r="Y35" s="2" t="s">
        <v>641</v>
      </c>
      <c r="AB35" s="2" t="s">
        <v>752</v>
      </c>
      <c r="AC35" s="2" t="s">
        <v>724</v>
      </c>
      <c r="AE35" s="84">
        <v>42767</v>
      </c>
      <c r="AF35" s="4" t="s">
        <v>618</v>
      </c>
      <c r="AM35" s="84">
        <v>42432</v>
      </c>
      <c r="AN35" s="4" t="s">
        <v>622</v>
      </c>
      <c r="AQ35" s="81" t="s">
        <v>753</v>
      </c>
    </row>
    <row r="36" ht="12.95" customHeight="1" spans="1:43">
      <c r="A36" s="84">
        <v>44229</v>
      </c>
      <c r="B36" s="4" t="s">
        <v>619</v>
      </c>
      <c r="F36" s="2" t="s">
        <v>754</v>
      </c>
      <c r="H36" s="84">
        <v>43863</v>
      </c>
      <c r="I36" s="4" t="s">
        <v>603</v>
      </c>
      <c r="O36" s="84">
        <v>43498</v>
      </c>
      <c r="P36" s="4" t="s">
        <v>602</v>
      </c>
      <c r="W36" s="84">
        <v>43133</v>
      </c>
      <c r="X36" s="4" t="s">
        <v>617</v>
      </c>
      <c r="Y36" s="2" t="s">
        <v>625</v>
      </c>
      <c r="AB36" s="2" t="s">
        <v>755</v>
      </c>
      <c r="AE36" s="84">
        <v>42768</v>
      </c>
      <c r="AF36" s="4" t="s">
        <v>622</v>
      </c>
      <c r="AG36" s="79"/>
      <c r="AH36" s="79"/>
      <c r="AM36" s="84">
        <v>42433</v>
      </c>
      <c r="AN36" s="4" t="s">
        <v>617</v>
      </c>
      <c r="AQ36" s="81" t="s">
        <v>756</v>
      </c>
    </row>
    <row r="37" ht="12.95" customHeight="1" spans="1:43">
      <c r="A37" s="84">
        <v>44230</v>
      </c>
      <c r="B37" s="4" t="s">
        <v>618</v>
      </c>
      <c r="F37" s="2" t="s">
        <v>757</v>
      </c>
      <c r="H37" s="84">
        <v>43864</v>
      </c>
      <c r="I37" s="4" t="s">
        <v>620</v>
      </c>
      <c r="L37" s="2">
        <v>3</v>
      </c>
      <c r="M37" s="2" t="s">
        <v>758</v>
      </c>
      <c r="O37" s="84">
        <v>43499</v>
      </c>
      <c r="P37" s="4" t="s">
        <v>603</v>
      </c>
      <c r="R37" s="2">
        <v>3</v>
      </c>
      <c r="T37" s="2" t="s">
        <v>751</v>
      </c>
      <c r="W37" s="84">
        <v>43134</v>
      </c>
      <c r="X37" s="4" t="s">
        <v>602</v>
      </c>
      <c r="AB37" s="2" t="s">
        <v>759</v>
      </c>
      <c r="AE37" s="84">
        <v>42769</v>
      </c>
      <c r="AF37" s="4" t="s">
        <v>617</v>
      </c>
      <c r="AG37" s="79"/>
      <c r="AH37" s="79"/>
      <c r="AM37" s="84">
        <v>42434</v>
      </c>
      <c r="AN37" s="4" t="s">
        <v>602</v>
      </c>
      <c r="AO37" s="80">
        <v>5</v>
      </c>
      <c r="AQ37" s="81" t="s">
        <v>760</v>
      </c>
    </row>
    <row r="38" ht="12.95" customHeight="1" spans="1:40">
      <c r="A38" s="84">
        <v>44231</v>
      </c>
      <c r="B38" s="4" t="s">
        <v>622</v>
      </c>
      <c r="F38" s="2" t="s">
        <v>761</v>
      </c>
      <c r="H38" s="84">
        <v>43865</v>
      </c>
      <c r="I38" s="4" t="s">
        <v>619</v>
      </c>
      <c r="L38" s="2">
        <v>3</v>
      </c>
      <c r="M38" s="2" t="s">
        <v>762</v>
      </c>
      <c r="O38" s="84">
        <v>43500</v>
      </c>
      <c r="P38" s="4" t="s">
        <v>620</v>
      </c>
      <c r="Q38" s="79"/>
      <c r="R38" s="79"/>
      <c r="W38" s="84">
        <v>43135</v>
      </c>
      <c r="X38" s="4" t="s">
        <v>603</v>
      </c>
      <c r="Y38" s="79"/>
      <c r="Z38" s="79"/>
      <c r="AE38" s="84">
        <v>42770</v>
      </c>
      <c r="AF38" s="4" t="s">
        <v>602</v>
      </c>
      <c r="AG38" s="79"/>
      <c r="AH38" s="79"/>
      <c r="AJ38" s="2" t="s">
        <v>763</v>
      </c>
      <c r="AM38" s="84">
        <v>42435</v>
      </c>
      <c r="AN38" s="4" t="s">
        <v>603</v>
      </c>
    </row>
    <row r="39" ht="12.95" customHeight="1" spans="1:43">
      <c r="A39" s="84">
        <v>44232</v>
      </c>
      <c r="B39" s="4" t="s">
        <v>617</v>
      </c>
      <c r="F39" s="2" t="s">
        <v>764</v>
      </c>
      <c r="H39" s="84">
        <v>43866</v>
      </c>
      <c r="I39" s="4" t="s">
        <v>618</v>
      </c>
      <c r="O39" s="84">
        <v>43501</v>
      </c>
      <c r="P39" s="4" t="s">
        <v>619</v>
      </c>
      <c r="W39" s="84">
        <v>43136</v>
      </c>
      <c r="X39" s="4" t="s">
        <v>620</v>
      </c>
      <c r="Y39" s="2" t="s">
        <v>630</v>
      </c>
      <c r="AB39" s="2" t="s">
        <v>765</v>
      </c>
      <c r="AC39" s="2" t="s">
        <v>739</v>
      </c>
      <c r="AE39" s="84">
        <v>42771</v>
      </c>
      <c r="AF39" s="4" t="s">
        <v>603</v>
      </c>
      <c r="AJ39" s="2" t="s">
        <v>766</v>
      </c>
      <c r="AM39" s="84">
        <v>42436</v>
      </c>
      <c r="AN39" s="4" t="s">
        <v>620</v>
      </c>
      <c r="AO39" s="80">
        <v>3</v>
      </c>
      <c r="AP39" s="89" t="s">
        <v>767</v>
      </c>
      <c r="AQ39" s="81" t="s">
        <v>768</v>
      </c>
    </row>
    <row r="40" ht="12.95" customHeight="1" spans="1:43">
      <c r="A40" s="84">
        <v>44233</v>
      </c>
      <c r="B40" s="4" t="s">
        <v>602</v>
      </c>
      <c r="F40" s="85" t="s">
        <v>769</v>
      </c>
      <c r="H40" s="84">
        <v>43867</v>
      </c>
      <c r="I40" s="4" t="s">
        <v>622</v>
      </c>
      <c r="O40" s="84">
        <v>43502</v>
      </c>
      <c r="P40" s="4" t="s">
        <v>618</v>
      </c>
      <c r="W40" s="84">
        <v>43137</v>
      </c>
      <c r="X40" s="4" t="s">
        <v>619</v>
      </c>
      <c r="Y40" s="2" t="s">
        <v>635</v>
      </c>
      <c r="AB40" s="2" t="s">
        <v>770</v>
      </c>
      <c r="AC40" s="2" t="s">
        <v>771</v>
      </c>
      <c r="AE40" s="84">
        <v>42772</v>
      </c>
      <c r="AF40" s="4" t="s">
        <v>620</v>
      </c>
      <c r="AG40" s="85"/>
      <c r="AH40" s="85"/>
      <c r="AJ40" s="2" t="s">
        <v>772</v>
      </c>
      <c r="AM40" s="84">
        <v>42437</v>
      </c>
      <c r="AN40" s="4" t="s">
        <v>619</v>
      </c>
      <c r="AO40" s="80">
        <v>1</v>
      </c>
      <c r="AQ40" s="81" t="s">
        <v>773</v>
      </c>
    </row>
    <row r="41" ht="12.95" customHeight="1" spans="1:43">
      <c r="A41" s="84">
        <v>44234</v>
      </c>
      <c r="B41" s="4" t="s">
        <v>603</v>
      </c>
      <c r="F41" s="2" t="s">
        <v>774</v>
      </c>
      <c r="H41" s="84">
        <v>43868</v>
      </c>
      <c r="I41" s="4" t="s">
        <v>617</v>
      </c>
      <c r="O41" s="84">
        <v>43503</v>
      </c>
      <c r="P41" s="4" t="s">
        <v>622</v>
      </c>
      <c r="W41" s="84">
        <v>43138</v>
      </c>
      <c r="X41" s="4" t="s">
        <v>618</v>
      </c>
      <c r="Y41" s="2" t="s">
        <v>641</v>
      </c>
      <c r="AB41" s="2" t="s">
        <v>775</v>
      </c>
      <c r="AC41" s="2" t="s">
        <v>748</v>
      </c>
      <c r="AE41" s="84">
        <v>42773</v>
      </c>
      <c r="AF41" s="4" t="s">
        <v>619</v>
      </c>
      <c r="AJ41" s="2" t="s">
        <v>776</v>
      </c>
      <c r="AM41" s="84">
        <v>42438</v>
      </c>
      <c r="AN41" s="4" t="s">
        <v>618</v>
      </c>
      <c r="AO41" s="80">
        <v>1</v>
      </c>
      <c r="AQ41" s="81" t="s">
        <v>777</v>
      </c>
    </row>
    <row r="42" ht="12.95" customHeight="1" spans="1:43">
      <c r="A42" s="84">
        <v>44235</v>
      </c>
      <c r="B42" s="4" t="s">
        <v>620</v>
      </c>
      <c r="H42" s="84">
        <v>43869</v>
      </c>
      <c r="I42" s="4" t="s">
        <v>602</v>
      </c>
      <c r="O42" s="84">
        <v>43504</v>
      </c>
      <c r="P42" s="4" t="s">
        <v>617</v>
      </c>
      <c r="W42" s="84">
        <v>43139</v>
      </c>
      <c r="X42" s="4" t="s">
        <v>622</v>
      </c>
      <c r="Y42" s="2" t="s">
        <v>625</v>
      </c>
      <c r="AB42" s="2" t="s">
        <v>778</v>
      </c>
      <c r="AC42" s="2" t="s">
        <v>724</v>
      </c>
      <c r="AE42" s="84">
        <v>42774</v>
      </c>
      <c r="AF42" s="4" t="s">
        <v>618</v>
      </c>
      <c r="AJ42" s="2" t="s">
        <v>779</v>
      </c>
      <c r="AM42" s="84">
        <v>42439</v>
      </c>
      <c r="AN42" s="4" t="s">
        <v>622</v>
      </c>
      <c r="AO42" s="80">
        <v>3</v>
      </c>
      <c r="AQ42" s="81" t="s">
        <v>780</v>
      </c>
    </row>
    <row r="43" ht="12.95" customHeight="1" spans="1:43">
      <c r="A43" s="84">
        <v>44236</v>
      </c>
      <c r="B43" s="4" t="s">
        <v>619</v>
      </c>
      <c r="H43" s="84">
        <v>43870</v>
      </c>
      <c r="I43" s="4" t="s">
        <v>603</v>
      </c>
      <c r="O43" s="84">
        <v>43505</v>
      </c>
      <c r="P43" s="4" t="s">
        <v>602</v>
      </c>
      <c r="W43" s="84">
        <v>43140</v>
      </c>
      <c r="X43" s="4" t="s">
        <v>617</v>
      </c>
      <c r="Y43" s="2" t="s">
        <v>630</v>
      </c>
      <c r="AB43" s="2" t="s">
        <v>781</v>
      </c>
      <c r="AE43" s="84">
        <v>42775</v>
      </c>
      <c r="AF43" s="4" t="s">
        <v>622</v>
      </c>
      <c r="AJ43" s="2" t="s">
        <v>782</v>
      </c>
      <c r="AM43" s="84">
        <v>42440</v>
      </c>
      <c r="AN43" s="4" t="s">
        <v>617</v>
      </c>
      <c r="AO43" s="80">
        <v>1</v>
      </c>
      <c r="AQ43" s="81" t="s">
        <v>783</v>
      </c>
    </row>
    <row r="44" ht="12.95" customHeight="1" spans="1:43">
      <c r="A44" s="84">
        <v>44237</v>
      </c>
      <c r="B44" s="4" t="s">
        <v>618</v>
      </c>
      <c r="H44" s="84">
        <v>43871</v>
      </c>
      <c r="I44" s="4" t="s">
        <v>620</v>
      </c>
      <c r="M44" s="2" t="s">
        <v>784</v>
      </c>
      <c r="O44" s="84">
        <v>43506</v>
      </c>
      <c r="P44" s="4" t="s">
        <v>603</v>
      </c>
      <c r="W44" s="84">
        <v>43141</v>
      </c>
      <c r="X44" s="4" t="s">
        <v>602</v>
      </c>
      <c r="AE44" s="84">
        <v>42776</v>
      </c>
      <c r="AF44" s="4" t="s">
        <v>617</v>
      </c>
      <c r="AJ44" s="2" t="s">
        <v>785</v>
      </c>
      <c r="AM44" s="84">
        <v>42441</v>
      </c>
      <c r="AN44" s="4" t="s">
        <v>602</v>
      </c>
      <c r="AO44" s="80">
        <v>5</v>
      </c>
      <c r="AQ44" s="81" t="s">
        <v>786</v>
      </c>
    </row>
    <row r="45" ht="12.95" customHeight="1" spans="1:40">
      <c r="A45" s="84">
        <v>44238</v>
      </c>
      <c r="B45" s="4" t="s">
        <v>622</v>
      </c>
      <c r="H45" s="84">
        <v>43872</v>
      </c>
      <c r="I45" s="4" t="s">
        <v>619</v>
      </c>
      <c r="M45" s="2" t="s">
        <v>787</v>
      </c>
      <c r="O45" s="84">
        <v>43507</v>
      </c>
      <c r="P45" s="4" t="s">
        <v>620</v>
      </c>
      <c r="W45" s="84">
        <v>43142</v>
      </c>
      <c r="X45" s="4" t="s">
        <v>603</v>
      </c>
      <c r="AE45" s="84">
        <v>42777</v>
      </c>
      <c r="AF45" s="4" t="s">
        <v>602</v>
      </c>
      <c r="AM45" s="84">
        <v>42442</v>
      </c>
      <c r="AN45" s="4" t="s">
        <v>603</v>
      </c>
    </row>
    <row r="46" ht="12.95" customHeight="1" spans="1:42">
      <c r="A46" s="84">
        <v>44239</v>
      </c>
      <c r="B46" s="4" t="s">
        <v>617</v>
      </c>
      <c r="H46" s="84">
        <v>43873</v>
      </c>
      <c r="I46" s="4" t="s">
        <v>618</v>
      </c>
      <c r="M46" s="2" t="s">
        <v>788</v>
      </c>
      <c r="O46" s="84">
        <v>43508</v>
      </c>
      <c r="P46" s="4" t="s">
        <v>619</v>
      </c>
      <c r="R46" s="88">
        <v>-7.5</v>
      </c>
      <c r="W46" s="84">
        <v>43143</v>
      </c>
      <c r="X46" s="4" t="s">
        <v>620</v>
      </c>
      <c r="AE46" s="84">
        <v>42778</v>
      </c>
      <c r="AF46" s="4" t="s">
        <v>603</v>
      </c>
      <c r="AM46" s="84">
        <v>42443</v>
      </c>
      <c r="AN46" s="4" t="s">
        <v>620</v>
      </c>
      <c r="AP46" s="89" t="s">
        <v>789</v>
      </c>
    </row>
    <row r="47" ht="12.95" customHeight="1" spans="1:40">
      <c r="A47" s="84">
        <v>44240</v>
      </c>
      <c r="B47" s="4" t="s">
        <v>602</v>
      </c>
      <c r="H47" s="84">
        <v>43874</v>
      </c>
      <c r="I47" s="4" t="s">
        <v>622</v>
      </c>
      <c r="M47" s="2" t="s">
        <v>790</v>
      </c>
      <c r="O47" s="84">
        <v>43509</v>
      </c>
      <c r="P47" s="4" t="s">
        <v>618</v>
      </c>
      <c r="T47" s="2" t="s">
        <v>791</v>
      </c>
      <c r="W47" s="84">
        <v>43144</v>
      </c>
      <c r="X47" s="4" t="s">
        <v>619</v>
      </c>
      <c r="AE47" s="84">
        <v>42779</v>
      </c>
      <c r="AF47" s="4" t="s">
        <v>620</v>
      </c>
      <c r="AJ47" s="2" t="s">
        <v>792</v>
      </c>
      <c r="AM47" s="84">
        <v>42444</v>
      </c>
      <c r="AN47" s="4" t="s">
        <v>619</v>
      </c>
    </row>
    <row r="48" ht="12.95" customHeight="1" spans="1:40">
      <c r="A48" s="84">
        <v>44241</v>
      </c>
      <c r="B48" s="4" t="s">
        <v>603</v>
      </c>
      <c r="H48" s="84">
        <v>43875</v>
      </c>
      <c r="I48" s="4" t="s">
        <v>617</v>
      </c>
      <c r="M48" s="2" t="s">
        <v>793</v>
      </c>
      <c r="O48" s="84">
        <v>43510</v>
      </c>
      <c r="P48" s="4" t="s">
        <v>622</v>
      </c>
      <c r="T48" s="2" t="s">
        <v>794</v>
      </c>
      <c r="W48" s="84">
        <v>43145</v>
      </c>
      <c r="X48" s="4" t="s">
        <v>618</v>
      </c>
      <c r="AE48" s="84">
        <v>42780</v>
      </c>
      <c r="AF48" s="4" t="s">
        <v>619</v>
      </c>
      <c r="AJ48" s="2" t="s">
        <v>795</v>
      </c>
      <c r="AM48" s="84">
        <v>42445</v>
      </c>
      <c r="AN48" s="4" t="s">
        <v>618</v>
      </c>
    </row>
    <row r="49" ht="12.95" customHeight="1" spans="1:40">
      <c r="A49" s="84">
        <v>44242</v>
      </c>
      <c r="B49" s="4" t="s">
        <v>620</v>
      </c>
      <c r="H49" s="84">
        <v>43876</v>
      </c>
      <c r="I49" s="4" t="s">
        <v>602</v>
      </c>
      <c r="O49" s="84">
        <v>43511</v>
      </c>
      <c r="P49" s="4" t="s">
        <v>617</v>
      </c>
      <c r="T49" s="2" t="s">
        <v>796</v>
      </c>
      <c r="W49" s="84">
        <v>43146</v>
      </c>
      <c r="X49" s="4" t="s">
        <v>622</v>
      </c>
      <c r="AE49" s="84">
        <v>42781</v>
      </c>
      <c r="AF49" s="4" t="s">
        <v>618</v>
      </c>
      <c r="AJ49" s="2" t="s">
        <v>797</v>
      </c>
      <c r="AM49" s="84">
        <v>42446</v>
      </c>
      <c r="AN49" s="4" t="s">
        <v>622</v>
      </c>
    </row>
    <row r="50" ht="12.95" customHeight="1" spans="1:40">
      <c r="A50" s="84">
        <v>44243</v>
      </c>
      <c r="B50" s="4" t="s">
        <v>619</v>
      </c>
      <c r="H50" s="84">
        <v>43877</v>
      </c>
      <c r="I50" s="4" t="s">
        <v>603</v>
      </c>
      <c r="O50" s="84">
        <v>43512</v>
      </c>
      <c r="P50" s="4" t="s">
        <v>602</v>
      </c>
      <c r="T50" s="2" t="s">
        <v>798</v>
      </c>
      <c r="W50" s="84">
        <v>43147</v>
      </c>
      <c r="X50" s="4" t="s">
        <v>617</v>
      </c>
      <c r="AE50" s="84">
        <v>42782</v>
      </c>
      <c r="AF50" s="4" t="s">
        <v>622</v>
      </c>
      <c r="AJ50" s="2" t="s">
        <v>799</v>
      </c>
      <c r="AM50" s="84">
        <v>42447</v>
      </c>
      <c r="AN50" s="4" t="s">
        <v>617</v>
      </c>
    </row>
    <row r="51" ht="12.95" customHeight="1" spans="1:40">
      <c r="A51" s="84">
        <v>44244</v>
      </c>
      <c r="B51" s="4" t="s">
        <v>618</v>
      </c>
      <c r="H51" s="84">
        <v>43878</v>
      </c>
      <c r="I51" s="4" t="s">
        <v>620</v>
      </c>
      <c r="M51" s="2" t="s">
        <v>800</v>
      </c>
      <c r="O51" s="84">
        <v>43513</v>
      </c>
      <c r="P51" s="4" t="s">
        <v>603</v>
      </c>
      <c r="W51" s="84">
        <v>43148</v>
      </c>
      <c r="X51" s="4" t="s">
        <v>602</v>
      </c>
      <c r="AE51" s="84">
        <v>42783</v>
      </c>
      <c r="AF51" s="4" t="s">
        <v>617</v>
      </c>
      <c r="AJ51" s="2" t="s">
        <v>801</v>
      </c>
      <c r="AM51" s="84">
        <v>42448</v>
      </c>
      <c r="AN51" s="4" t="s">
        <v>602</v>
      </c>
    </row>
    <row r="52" ht="12.95" customHeight="1" spans="1:40">
      <c r="A52" s="84">
        <v>44245</v>
      </c>
      <c r="B52" s="4" t="s">
        <v>622</v>
      </c>
      <c r="H52" s="84">
        <v>43879</v>
      </c>
      <c r="I52" s="4" t="s">
        <v>619</v>
      </c>
      <c r="M52" s="2" t="s">
        <v>802</v>
      </c>
      <c r="O52" s="84">
        <v>43514</v>
      </c>
      <c r="P52" s="4" t="s">
        <v>620</v>
      </c>
      <c r="T52" s="2" t="s">
        <v>803</v>
      </c>
      <c r="W52" s="84">
        <v>43149</v>
      </c>
      <c r="X52" s="4" t="s">
        <v>603</v>
      </c>
      <c r="AE52" s="84">
        <v>42784</v>
      </c>
      <c r="AF52" s="4" t="s">
        <v>602</v>
      </c>
      <c r="AM52" s="84">
        <v>42449</v>
      </c>
      <c r="AN52" s="4" t="s">
        <v>603</v>
      </c>
    </row>
    <row r="53" ht="12.95" customHeight="1" spans="1:40">
      <c r="A53" s="84">
        <v>44246</v>
      </c>
      <c r="B53" s="4" t="s">
        <v>617</v>
      </c>
      <c r="F53" s="2" t="s">
        <v>804</v>
      </c>
      <c r="H53" s="84">
        <v>43880</v>
      </c>
      <c r="I53" s="4" t="s">
        <v>618</v>
      </c>
      <c r="M53" s="2" t="s">
        <v>805</v>
      </c>
      <c r="O53" s="84">
        <v>43515</v>
      </c>
      <c r="P53" s="4" t="s">
        <v>619</v>
      </c>
      <c r="R53" s="2">
        <v>-3.5</v>
      </c>
      <c r="T53" s="2" t="s">
        <v>806</v>
      </c>
      <c r="W53" s="84">
        <v>43150</v>
      </c>
      <c r="X53" s="4" t="s">
        <v>620</v>
      </c>
      <c r="AE53" s="84">
        <v>42785</v>
      </c>
      <c r="AF53" s="4" t="s">
        <v>603</v>
      </c>
      <c r="AM53" s="84">
        <v>42450</v>
      </c>
      <c r="AN53" s="4" t="s">
        <v>620</v>
      </c>
    </row>
    <row r="54" ht="12.95" customHeight="1" spans="1:40">
      <c r="A54" s="84">
        <v>44247</v>
      </c>
      <c r="B54" s="4" t="s">
        <v>602</v>
      </c>
      <c r="F54" s="2" t="s">
        <v>804</v>
      </c>
      <c r="H54" s="84">
        <v>43881</v>
      </c>
      <c r="I54" s="4" t="s">
        <v>622</v>
      </c>
      <c r="M54" s="2" t="s">
        <v>807</v>
      </c>
      <c r="O54" s="84">
        <v>43516</v>
      </c>
      <c r="P54" s="4" t="s">
        <v>618</v>
      </c>
      <c r="T54" s="2" t="s">
        <v>808</v>
      </c>
      <c r="W54" s="84">
        <v>43151</v>
      </c>
      <c r="X54" s="4" t="s">
        <v>619</v>
      </c>
      <c r="AE54" s="84">
        <v>42786</v>
      </c>
      <c r="AF54" s="4" t="s">
        <v>620</v>
      </c>
      <c r="AJ54" s="2" t="s">
        <v>809</v>
      </c>
      <c r="AM54" s="84">
        <v>42451</v>
      </c>
      <c r="AN54" s="4" t="s">
        <v>619</v>
      </c>
    </row>
    <row r="55" ht="12.95" customHeight="1" spans="1:40">
      <c r="A55" s="84">
        <v>44248</v>
      </c>
      <c r="B55" s="4" t="s">
        <v>603</v>
      </c>
      <c r="H55" s="84">
        <v>43882</v>
      </c>
      <c r="I55" s="4" t="s">
        <v>617</v>
      </c>
      <c r="M55" s="2" t="s">
        <v>810</v>
      </c>
      <c r="O55" s="84">
        <v>43517</v>
      </c>
      <c r="P55" s="4" t="s">
        <v>622</v>
      </c>
      <c r="S55" s="2" t="s">
        <v>811</v>
      </c>
      <c r="T55" s="2" t="s">
        <v>812</v>
      </c>
      <c r="W55" s="84">
        <v>43152</v>
      </c>
      <c r="X55" s="4" t="s">
        <v>618</v>
      </c>
      <c r="AE55" s="84">
        <v>42787</v>
      </c>
      <c r="AF55" s="4" t="s">
        <v>619</v>
      </c>
      <c r="AJ55" s="2" t="s">
        <v>813</v>
      </c>
      <c r="AM55" s="84">
        <v>42452</v>
      </c>
      <c r="AN55" s="4" t="s">
        <v>618</v>
      </c>
    </row>
    <row r="56" ht="12.95" customHeight="1" spans="1:40">
      <c r="A56" s="84">
        <v>44249</v>
      </c>
      <c r="B56" s="4" t="s">
        <v>620</v>
      </c>
      <c r="F56" s="2" t="s">
        <v>814</v>
      </c>
      <c r="H56" s="84">
        <v>43883</v>
      </c>
      <c r="I56" s="4" t="s">
        <v>602</v>
      </c>
      <c r="O56" s="84">
        <v>43518</v>
      </c>
      <c r="P56" s="4" t="s">
        <v>617</v>
      </c>
      <c r="T56" s="2" t="s">
        <v>815</v>
      </c>
      <c r="W56" s="84">
        <v>43153</v>
      </c>
      <c r="X56" s="4" t="s">
        <v>622</v>
      </c>
      <c r="AE56" s="84">
        <v>42788</v>
      </c>
      <c r="AF56" s="4" t="s">
        <v>618</v>
      </c>
      <c r="AJ56" s="2" t="s">
        <v>816</v>
      </c>
      <c r="AM56" s="84">
        <v>42453</v>
      </c>
      <c r="AN56" s="4" t="s">
        <v>622</v>
      </c>
    </row>
    <row r="57" ht="12.95" customHeight="1" spans="1:40">
      <c r="A57" s="84">
        <v>44250</v>
      </c>
      <c r="B57" s="4" t="s">
        <v>619</v>
      </c>
      <c r="F57" s="2" t="s">
        <v>817</v>
      </c>
      <c r="H57" s="84">
        <v>43884</v>
      </c>
      <c r="I57" s="4" t="s">
        <v>603</v>
      </c>
      <c r="O57" s="84">
        <v>43519</v>
      </c>
      <c r="P57" s="4" t="s">
        <v>602</v>
      </c>
      <c r="W57" s="84">
        <v>43154</v>
      </c>
      <c r="X57" s="4" t="s">
        <v>617</v>
      </c>
      <c r="Y57" s="2" t="s">
        <v>641</v>
      </c>
      <c r="AB57" s="2" t="s">
        <v>818</v>
      </c>
      <c r="AE57" s="84">
        <v>42789</v>
      </c>
      <c r="AF57" s="4" t="s">
        <v>622</v>
      </c>
      <c r="AJ57" s="2" t="s">
        <v>819</v>
      </c>
      <c r="AM57" s="84">
        <v>42454</v>
      </c>
      <c r="AN57" s="4" t="s">
        <v>617</v>
      </c>
    </row>
    <row r="58" ht="12.95" customHeight="1" spans="1:40">
      <c r="A58" s="84">
        <v>44251</v>
      </c>
      <c r="B58" s="4" t="s">
        <v>618</v>
      </c>
      <c r="F58" s="2" t="s">
        <v>817</v>
      </c>
      <c r="H58" s="84">
        <v>43885</v>
      </c>
      <c r="I58" s="4" t="s">
        <v>620</v>
      </c>
      <c r="M58" s="2" t="s">
        <v>820</v>
      </c>
      <c r="O58" s="84">
        <v>43520</v>
      </c>
      <c r="P58" s="4" t="s">
        <v>603</v>
      </c>
      <c r="W58" s="84">
        <v>43155</v>
      </c>
      <c r="X58" s="4" t="s">
        <v>602</v>
      </c>
      <c r="Y58" s="2" t="s">
        <v>625</v>
      </c>
      <c r="AB58" s="2" t="s">
        <v>821</v>
      </c>
      <c r="AE58" s="84">
        <v>42790</v>
      </c>
      <c r="AF58" s="4" t="s">
        <v>617</v>
      </c>
      <c r="AJ58" s="2" t="s">
        <v>822</v>
      </c>
      <c r="AM58" s="84">
        <v>42455</v>
      </c>
      <c r="AN58" s="4" t="s">
        <v>602</v>
      </c>
    </row>
    <row r="59" ht="12.95" customHeight="1" spans="1:40">
      <c r="A59" s="84">
        <v>44252</v>
      </c>
      <c r="B59" s="4" t="s">
        <v>622</v>
      </c>
      <c r="F59" s="2" t="s">
        <v>823</v>
      </c>
      <c r="H59" s="84">
        <v>43886</v>
      </c>
      <c r="I59" s="4" t="s">
        <v>619</v>
      </c>
      <c r="M59" s="2" t="s">
        <v>824</v>
      </c>
      <c r="O59" s="84">
        <v>43521</v>
      </c>
      <c r="P59" s="4" t="s">
        <v>620</v>
      </c>
      <c r="T59" s="2" t="s">
        <v>754</v>
      </c>
      <c r="W59" s="84">
        <v>43156</v>
      </c>
      <c r="X59" s="4" t="s">
        <v>603</v>
      </c>
      <c r="AE59" s="84">
        <v>42791</v>
      </c>
      <c r="AF59" s="4" t="s">
        <v>602</v>
      </c>
      <c r="AM59" s="84">
        <v>42456</v>
      </c>
      <c r="AN59" s="4" t="s">
        <v>603</v>
      </c>
    </row>
    <row r="60" ht="12.95" customHeight="1" spans="1:40">
      <c r="A60" s="84">
        <v>44253</v>
      </c>
      <c r="B60" s="4" t="s">
        <v>617</v>
      </c>
      <c r="F60" s="2" t="s">
        <v>825</v>
      </c>
      <c r="H60" s="84">
        <v>43887</v>
      </c>
      <c r="I60" s="4" t="s">
        <v>618</v>
      </c>
      <c r="M60" s="2" t="s">
        <v>820</v>
      </c>
      <c r="O60" s="84">
        <v>43522</v>
      </c>
      <c r="P60" s="4" t="s">
        <v>619</v>
      </c>
      <c r="T60" s="2" t="s">
        <v>826</v>
      </c>
      <c r="W60" s="84">
        <v>43157</v>
      </c>
      <c r="X60" s="4" t="s">
        <v>620</v>
      </c>
      <c r="Y60" s="2" t="s">
        <v>630</v>
      </c>
      <c r="AB60" s="2" t="s">
        <v>827</v>
      </c>
      <c r="AC60" s="2" t="s">
        <v>828</v>
      </c>
      <c r="AE60" s="84">
        <v>42792</v>
      </c>
      <c r="AF60" s="4" t="s">
        <v>603</v>
      </c>
      <c r="AM60" s="84">
        <v>42457</v>
      </c>
      <c r="AN60" s="4" t="s">
        <v>620</v>
      </c>
    </row>
    <row r="61" ht="12.95" customHeight="1" spans="1:40">
      <c r="A61" s="84">
        <v>44254</v>
      </c>
      <c r="B61" s="4" t="s">
        <v>602</v>
      </c>
      <c r="H61" s="84">
        <v>43888</v>
      </c>
      <c r="I61" s="4" t="s">
        <v>622</v>
      </c>
      <c r="M61" s="2" t="s">
        <v>829</v>
      </c>
      <c r="O61" s="84">
        <v>43523</v>
      </c>
      <c r="P61" s="4" t="s">
        <v>618</v>
      </c>
      <c r="S61" s="2" t="s">
        <v>830</v>
      </c>
      <c r="T61" s="2" t="s">
        <v>831</v>
      </c>
      <c r="W61" s="84">
        <v>43158</v>
      </c>
      <c r="X61" s="4" t="s">
        <v>619</v>
      </c>
      <c r="Y61" s="2" t="s">
        <v>635</v>
      </c>
      <c r="AB61" s="2" t="s">
        <v>832</v>
      </c>
      <c r="AC61" s="2" t="s">
        <v>833</v>
      </c>
      <c r="AE61" s="84">
        <v>42793</v>
      </c>
      <c r="AF61" s="4" t="s">
        <v>620</v>
      </c>
      <c r="AJ61" s="2" t="s">
        <v>834</v>
      </c>
      <c r="AM61" s="84">
        <v>42458</v>
      </c>
      <c r="AN61" s="4" t="s">
        <v>619</v>
      </c>
    </row>
    <row r="62" ht="12.95" customHeight="1" spans="1:40">
      <c r="A62" s="84">
        <v>44255</v>
      </c>
      <c r="B62" s="4" t="s">
        <v>603</v>
      </c>
      <c r="H62" s="84">
        <v>43889</v>
      </c>
      <c r="I62" s="4" t="s">
        <v>617</v>
      </c>
      <c r="M62" s="2" t="s">
        <v>835</v>
      </c>
      <c r="O62" s="84">
        <v>43524</v>
      </c>
      <c r="P62" s="4" t="s">
        <v>622</v>
      </c>
      <c r="T62" s="2" t="s">
        <v>836</v>
      </c>
      <c r="W62" s="84">
        <v>43159</v>
      </c>
      <c r="X62" s="4" t="s">
        <v>618</v>
      </c>
      <c r="Y62" s="2" t="s">
        <v>641</v>
      </c>
      <c r="AB62" s="2" t="s">
        <v>837</v>
      </c>
      <c r="AC62" s="2" t="s">
        <v>838</v>
      </c>
      <c r="AE62" s="84">
        <v>42794</v>
      </c>
      <c r="AF62" s="4" t="s">
        <v>619</v>
      </c>
      <c r="AJ62" s="2" t="s">
        <v>839</v>
      </c>
      <c r="AM62" s="84">
        <v>42459</v>
      </c>
      <c r="AN62" s="4" t="s">
        <v>618</v>
      </c>
    </row>
    <row r="63" ht="12.95" customHeight="1" spans="1:40">
      <c r="A63" s="84">
        <v>44256</v>
      </c>
      <c r="B63" s="4" t="s">
        <v>620</v>
      </c>
      <c r="F63" s="2" t="s">
        <v>840</v>
      </c>
      <c r="H63" s="84">
        <v>43890</v>
      </c>
      <c r="I63" s="4" t="s">
        <v>602</v>
      </c>
      <c r="O63" s="84">
        <v>43525</v>
      </c>
      <c r="P63" s="4" t="s">
        <v>617</v>
      </c>
      <c r="T63" s="2" t="s">
        <v>841</v>
      </c>
      <c r="W63" s="84">
        <v>43160</v>
      </c>
      <c r="X63" s="4" t="s">
        <v>622</v>
      </c>
      <c r="Y63" s="2" t="s">
        <v>625</v>
      </c>
      <c r="AB63" s="2" t="s">
        <v>842</v>
      </c>
      <c r="AC63" s="2" t="s">
        <v>843</v>
      </c>
      <c r="AE63" s="84">
        <v>42795</v>
      </c>
      <c r="AF63" s="4" t="s">
        <v>618</v>
      </c>
      <c r="AJ63" s="2" t="s">
        <v>844</v>
      </c>
      <c r="AM63" s="84">
        <v>42460</v>
      </c>
      <c r="AN63" s="4" t="s">
        <v>622</v>
      </c>
    </row>
    <row r="64" ht="12.95" customHeight="1" spans="1:40">
      <c r="A64" s="84">
        <v>44257</v>
      </c>
      <c r="B64" s="4" t="s">
        <v>619</v>
      </c>
      <c r="F64" s="2" t="s">
        <v>845</v>
      </c>
      <c r="H64" s="84">
        <v>43891</v>
      </c>
      <c r="I64" s="4" t="s">
        <v>603</v>
      </c>
      <c r="O64" s="84">
        <v>43526</v>
      </c>
      <c r="P64" s="4" t="s">
        <v>602</v>
      </c>
      <c r="W64" s="84">
        <v>43161</v>
      </c>
      <c r="X64" s="4" t="s">
        <v>617</v>
      </c>
      <c r="Y64" s="2" t="s">
        <v>630</v>
      </c>
      <c r="AB64" s="2" t="s">
        <v>846</v>
      </c>
      <c r="AE64" s="84">
        <v>42796</v>
      </c>
      <c r="AF64" s="4" t="s">
        <v>622</v>
      </c>
      <c r="AJ64" s="2" t="s">
        <v>847</v>
      </c>
      <c r="AM64" s="84">
        <v>42461</v>
      </c>
      <c r="AN64" s="4" t="s">
        <v>617</v>
      </c>
    </row>
    <row r="65" ht="12.95" customHeight="1" spans="1:40">
      <c r="A65" s="84">
        <v>44258</v>
      </c>
      <c r="B65" s="4" t="s">
        <v>618</v>
      </c>
      <c r="F65" s="2" t="s">
        <v>848</v>
      </c>
      <c r="H65" s="84">
        <v>43892</v>
      </c>
      <c r="I65" s="4" t="s">
        <v>620</v>
      </c>
      <c r="M65" s="2" t="s">
        <v>849</v>
      </c>
      <c r="O65" s="84">
        <v>43527</v>
      </c>
      <c r="P65" s="4" t="s">
        <v>603</v>
      </c>
      <c r="W65" s="84">
        <v>43162</v>
      </c>
      <c r="X65" s="4" t="s">
        <v>602</v>
      </c>
      <c r="AE65" s="84">
        <v>42797</v>
      </c>
      <c r="AF65" s="4" t="s">
        <v>617</v>
      </c>
      <c r="AJ65" s="2" t="s">
        <v>850</v>
      </c>
      <c r="AM65" s="84">
        <v>42462</v>
      </c>
      <c r="AN65" s="4" t="s">
        <v>602</v>
      </c>
    </row>
    <row r="66" ht="12.95" customHeight="1" spans="1:40">
      <c r="A66" s="84">
        <v>44259</v>
      </c>
      <c r="B66" s="4" t="s">
        <v>622</v>
      </c>
      <c r="F66" s="2" t="s">
        <v>848</v>
      </c>
      <c r="H66" s="84">
        <v>43893</v>
      </c>
      <c r="I66" s="4" t="s">
        <v>619</v>
      </c>
      <c r="M66" s="2" t="s">
        <v>851</v>
      </c>
      <c r="O66" s="84">
        <v>43528</v>
      </c>
      <c r="P66" s="4" t="s">
        <v>620</v>
      </c>
      <c r="T66" s="2" t="s">
        <v>852</v>
      </c>
      <c r="W66" s="84">
        <v>43163</v>
      </c>
      <c r="X66" s="4" t="s">
        <v>603</v>
      </c>
      <c r="AE66" s="84">
        <v>42798</v>
      </c>
      <c r="AF66" s="4" t="s">
        <v>602</v>
      </c>
      <c r="AG66" s="2">
        <v>6</v>
      </c>
      <c r="AJ66" s="2" t="s">
        <v>853</v>
      </c>
      <c r="AM66" s="84">
        <v>42463</v>
      </c>
      <c r="AN66" s="4" t="s">
        <v>603</v>
      </c>
    </row>
    <row r="67" ht="12.95" customHeight="1" spans="1:40">
      <c r="A67" s="84">
        <v>44260</v>
      </c>
      <c r="B67" s="4" t="s">
        <v>617</v>
      </c>
      <c r="F67" s="2" t="s">
        <v>754</v>
      </c>
      <c r="H67" s="84">
        <v>43894</v>
      </c>
      <c r="I67" s="4" t="s">
        <v>618</v>
      </c>
      <c r="M67" s="2" t="s">
        <v>854</v>
      </c>
      <c r="O67" s="84">
        <v>43529</v>
      </c>
      <c r="P67" s="4" t="s">
        <v>619</v>
      </c>
      <c r="T67" s="2" t="s">
        <v>855</v>
      </c>
      <c r="W67" s="84">
        <v>43164</v>
      </c>
      <c r="X67" s="4" t="s">
        <v>620</v>
      </c>
      <c r="Y67" s="2" t="s">
        <v>635</v>
      </c>
      <c r="AB67" s="2" t="s">
        <v>856</v>
      </c>
      <c r="AC67" s="2" t="s">
        <v>857</v>
      </c>
      <c r="AE67" s="84">
        <v>42799</v>
      </c>
      <c r="AF67" s="4" t="s">
        <v>603</v>
      </c>
      <c r="AM67" s="84">
        <v>42464</v>
      </c>
      <c r="AN67" s="4" t="s">
        <v>620</v>
      </c>
    </row>
    <row r="68" ht="12.95" customHeight="1" spans="1:40">
      <c r="A68" s="84">
        <v>44261</v>
      </c>
      <c r="B68" s="4" t="s">
        <v>602</v>
      </c>
      <c r="H68" s="84">
        <v>43895</v>
      </c>
      <c r="I68" s="4" t="s">
        <v>622</v>
      </c>
      <c r="M68" s="2" t="s">
        <v>858</v>
      </c>
      <c r="O68" s="84">
        <v>43530</v>
      </c>
      <c r="P68" s="4" t="s">
        <v>618</v>
      </c>
      <c r="T68" s="2" t="s">
        <v>859</v>
      </c>
      <c r="W68" s="84">
        <v>43165</v>
      </c>
      <c r="X68" s="4" t="s">
        <v>619</v>
      </c>
      <c r="Y68" s="2" t="s">
        <v>641</v>
      </c>
      <c r="AB68" s="2" t="s">
        <v>860</v>
      </c>
      <c r="AC68" s="2" t="s">
        <v>861</v>
      </c>
      <c r="AE68" s="84">
        <v>42800</v>
      </c>
      <c r="AF68" s="4" t="s">
        <v>620</v>
      </c>
      <c r="AJ68" s="2" t="s">
        <v>862</v>
      </c>
      <c r="AM68" s="84">
        <v>42465</v>
      </c>
      <c r="AN68" s="4" t="s">
        <v>619</v>
      </c>
    </row>
    <row r="69" ht="12.95" customHeight="1" spans="1:40">
      <c r="A69" s="84">
        <v>44262</v>
      </c>
      <c r="B69" s="4" t="s">
        <v>603</v>
      </c>
      <c r="F69" s="90"/>
      <c r="H69" s="84">
        <v>43896</v>
      </c>
      <c r="I69" s="4" t="s">
        <v>617</v>
      </c>
      <c r="M69" s="2" t="s">
        <v>863</v>
      </c>
      <c r="O69" s="84">
        <v>43531</v>
      </c>
      <c r="P69" s="4" t="s">
        <v>622</v>
      </c>
      <c r="T69" s="2" t="s">
        <v>864</v>
      </c>
      <c r="W69" s="84">
        <v>43166</v>
      </c>
      <c r="X69" s="4" t="s">
        <v>618</v>
      </c>
      <c r="Y69" s="2" t="s">
        <v>625</v>
      </c>
      <c r="AB69" s="2" t="s">
        <v>865</v>
      </c>
      <c r="AC69" s="2" t="s">
        <v>838</v>
      </c>
      <c r="AE69" s="84">
        <v>42801</v>
      </c>
      <c r="AF69" s="4" t="s">
        <v>619</v>
      </c>
      <c r="AJ69" s="2" t="s">
        <v>866</v>
      </c>
      <c r="AM69" s="84">
        <v>42466</v>
      </c>
      <c r="AN69" s="4" t="s">
        <v>618</v>
      </c>
    </row>
    <row r="70" ht="12.95" customHeight="1" spans="1:40">
      <c r="A70" s="84">
        <v>44263</v>
      </c>
      <c r="B70" s="4" t="s">
        <v>620</v>
      </c>
      <c r="F70" s="2" t="s">
        <v>848</v>
      </c>
      <c r="H70" s="84">
        <v>43897</v>
      </c>
      <c r="I70" s="4" t="s">
        <v>602</v>
      </c>
      <c r="M70" s="2" t="s">
        <v>867</v>
      </c>
      <c r="O70" s="84">
        <v>43532</v>
      </c>
      <c r="P70" s="4" t="s">
        <v>617</v>
      </c>
      <c r="T70" s="2" t="s">
        <v>868</v>
      </c>
      <c r="W70" s="84">
        <v>43167</v>
      </c>
      <c r="X70" s="4" t="s">
        <v>622</v>
      </c>
      <c r="Y70" s="2" t="s">
        <v>630</v>
      </c>
      <c r="AB70" s="2" t="s">
        <v>869</v>
      </c>
      <c r="AC70" s="2" t="s">
        <v>843</v>
      </c>
      <c r="AE70" s="84">
        <v>42802</v>
      </c>
      <c r="AF70" s="4" t="s">
        <v>618</v>
      </c>
      <c r="AJ70" s="2" t="s">
        <v>870</v>
      </c>
      <c r="AM70" s="84">
        <v>42467</v>
      </c>
      <c r="AN70" s="4" t="s">
        <v>622</v>
      </c>
    </row>
    <row r="71" ht="12.95" customHeight="1" spans="1:40">
      <c r="A71" s="84">
        <v>44264</v>
      </c>
      <c r="B71" s="4" t="s">
        <v>619</v>
      </c>
      <c r="F71" s="2" t="s">
        <v>871</v>
      </c>
      <c r="H71" s="84">
        <v>43898</v>
      </c>
      <c r="I71" s="4" t="s">
        <v>603</v>
      </c>
      <c r="O71" s="84">
        <v>43533</v>
      </c>
      <c r="P71" s="4" t="s">
        <v>602</v>
      </c>
      <c r="W71" s="84">
        <v>43168</v>
      </c>
      <c r="X71" s="4" t="s">
        <v>617</v>
      </c>
      <c r="Y71" s="2" t="s">
        <v>635</v>
      </c>
      <c r="AB71" s="2" t="s">
        <v>872</v>
      </c>
      <c r="AE71" s="84">
        <v>42803</v>
      </c>
      <c r="AF71" s="4" t="s">
        <v>622</v>
      </c>
      <c r="AJ71" s="2" t="s">
        <v>873</v>
      </c>
      <c r="AM71" s="84">
        <v>42468</v>
      </c>
      <c r="AN71" s="4" t="s">
        <v>617</v>
      </c>
    </row>
    <row r="72" ht="12.95" customHeight="1" spans="1:40">
      <c r="A72" s="84">
        <v>44265</v>
      </c>
      <c r="B72" s="4" t="s">
        <v>618</v>
      </c>
      <c r="F72" s="2" t="s">
        <v>871</v>
      </c>
      <c r="H72" s="84">
        <v>43899</v>
      </c>
      <c r="I72" s="4" t="s">
        <v>620</v>
      </c>
      <c r="M72" s="2" t="s">
        <v>874</v>
      </c>
      <c r="O72" s="84">
        <v>43534</v>
      </c>
      <c r="P72" s="4" t="s">
        <v>603</v>
      </c>
      <c r="W72" s="84">
        <v>43169</v>
      </c>
      <c r="X72" s="4" t="s">
        <v>602</v>
      </c>
      <c r="AE72" s="84">
        <v>42804</v>
      </c>
      <c r="AF72" s="4" t="s">
        <v>617</v>
      </c>
      <c r="AJ72" s="2" t="s">
        <v>875</v>
      </c>
      <c r="AM72" s="91">
        <v>42469</v>
      </c>
      <c r="AN72" s="4" t="s">
        <v>602</v>
      </c>
    </row>
    <row r="73" ht="12.95" customHeight="1" spans="1:40">
      <c r="A73" s="84">
        <v>44266</v>
      </c>
      <c r="B73" s="4" t="s">
        <v>622</v>
      </c>
      <c r="F73" s="2" t="s">
        <v>871</v>
      </c>
      <c r="H73" s="84">
        <v>43900</v>
      </c>
      <c r="I73" s="4" t="s">
        <v>619</v>
      </c>
      <c r="M73" s="2" t="s">
        <v>876</v>
      </c>
      <c r="O73" s="84">
        <v>43535</v>
      </c>
      <c r="P73" s="4" t="s">
        <v>620</v>
      </c>
      <c r="S73" s="2" t="s">
        <v>830</v>
      </c>
      <c r="T73" s="2" t="s">
        <v>877</v>
      </c>
      <c r="W73" s="84">
        <v>43170</v>
      </c>
      <c r="X73" s="4" t="s">
        <v>603</v>
      </c>
      <c r="AE73" s="84">
        <v>42805</v>
      </c>
      <c r="AF73" s="4" t="s">
        <v>602</v>
      </c>
      <c r="AM73" s="91">
        <v>42470</v>
      </c>
      <c r="AN73" s="4" t="s">
        <v>603</v>
      </c>
    </row>
    <row r="74" ht="12.95" customHeight="1" spans="1:40">
      <c r="A74" s="84">
        <v>44267</v>
      </c>
      <c r="B74" s="4" t="s">
        <v>617</v>
      </c>
      <c r="F74" s="2" t="s">
        <v>871</v>
      </c>
      <c r="H74" s="84">
        <v>43901</v>
      </c>
      <c r="I74" s="4" t="s">
        <v>618</v>
      </c>
      <c r="M74" s="2" t="s">
        <v>878</v>
      </c>
      <c r="O74" s="84">
        <v>43536</v>
      </c>
      <c r="P74" s="4" t="s">
        <v>619</v>
      </c>
      <c r="S74" s="2" t="s">
        <v>879</v>
      </c>
      <c r="T74" s="2" t="s">
        <v>880</v>
      </c>
      <c r="W74" s="84">
        <v>43171</v>
      </c>
      <c r="X74" s="4" t="s">
        <v>620</v>
      </c>
      <c r="Y74" s="2" t="s">
        <v>641</v>
      </c>
      <c r="AB74" s="2" t="s">
        <v>881</v>
      </c>
      <c r="AC74" s="2" t="s">
        <v>882</v>
      </c>
      <c r="AE74" s="84">
        <v>42806</v>
      </c>
      <c r="AF74" s="4" t="s">
        <v>603</v>
      </c>
      <c r="AM74" s="91">
        <v>42471</v>
      </c>
      <c r="AN74" s="4" t="s">
        <v>620</v>
      </c>
    </row>
    <row r="75" ht="12.95" customHeight="1" spans="1:40">
      <c r="A75" s="84">
        <v>44268</v>
      </c>
      <c r="B75" s="4" t="s">
        <v>602</v>
      </c>
      <c r="H75" s="84">
        <v>43902</v>
      </c>
      <c r="I75" s="4" t="s">
        <v>622</v>
      </c>
      <c r="M75" s="2" t="s">
        <v>883</v>
      </c>
      <c r="O75" s="84">
        <v>43537</v>
      </c>
      <c r="P75" s="4" t="s">
        <v>618</v>
      </c>
      <c r="T75" s="2" t="s">
        <v>880</v>
      </c>
      <c r="W75" s="84">
        <v>43172</v>
      </c>
      <c r="X75" s="4" t="s">
        <v>619</v>
      </c>
      <c r="Y75" s="2" t="s">
        <v>625</v>
      </c>
      <c r="AB75" s="2" t="s">
        <v>884</v>
      </c>
      <c r="AC75" s="2" t="s">
        <v>885</v>
      </c>
      <c r="AE75" s="84">
        <v>42807</v>
      </c>
      <c r="AF75" s="4" t="s">
        <v>620</v>
      </c>
      <c r="AJ75" s="2" t="s">
        <v>886</v>
      </c>
      <c r="AM75" s="91">
        <v>42472</v>
      </c>
      <c r="AN75" s="4" t="s">
        <v>619</v>
      </c>
    </row>
    <row r="76" ht="12.95" customHeight="1" spans="1:40">
      <c r="A76" s="84">
        <v>44269</v>
      </c>
      <c r="B76" s="4" t="s">
        <v>603</v>
      </c>
      <c r="H76" s="84">
        <v>43903</v>
      </c>
      <c r="I76" s="4" t="s">
        <v>617</v>
      </c>
      <c r="M76" s="2" t="s">
        <v>887</v>
      </c>
      <c r="O76" s="84">
        <v>43538</v>
      </c>
      <c r="P76" s="4" t="s">
        <v>622</v>
      </c>
      <c r="T76" s="2" t="s">
        <v>888</v>
      </c>
      <c r="W76" s="84">
        <v>43173</v>
      </c>
      <c r="X76" s="4" t="s">
        <v>618</v>
      </c>
      <c r="Y76" s="2" t="s">
        <v>630</v>
      </c>
      <c r="AB76" s="2" t="s">
        <v>889</v>
      </c>
      <c r="AC76" s="2" t="s">
        <v>890</v>
      </c>
      <c r="AE76" s="84">
        <v>42808</v>
      </c>
      <c r="AF76" s="4" t="s">
        <v>619</v>
      </c>
      <c r="AJ76" s="2" t="s">
        <v>891</v>
      </c>
      <c r="AM76" s="91">
        <v>42473</v>
      </c>
      <c r="AN76" s="4" t="s">
        <v>618</v>
      </c>
    </row>
    <row r="77" ht="12.95" customHeight="1" spans="1:40">
      <c r="A77" s="84">
        <v>44270</v>
      </c>
      <c r="B77" s="4" t="s">
        <v>620</v>
      </c>
      <c r="F77" s="2" t="s">
        <v>804</v>
      </c>
      <c r="H77" s="84">
        <v>43904</v>
      </c>
      <c r="I77" s="4" t="s">
        <v>602</v>
      </c>
      <c r="O77" s="84">
        <v>43539</v>
      </c>
      <c r="P77" s="4" t="s">
        <v>617</v>
      </c>
      <c r="T77" s="2" t="s">
        <v>892</v>
      </c>
      <c r="W77" s="84">
        <v>43174</v>
      </c>
      <c r="X77" s="4" t="s">
        <v>622</v>
      </c>
      <c r="Y77" s="2" t="s">
        <v>635</v>
      </c>
      <c r="AB77" s="2" t="s">
        <v>893</v>
      </c>
      <c r="AC77" s="2" t="s">
        <v>843</v>
      </c>
      <c r="AE77" s="84">
        <v>42809</v>
      </c>
      <c r="AF77" s="4" t="s">
        <v>618</v>
      </c>
      <c r="AJ77" s="2" t="s">
        <v>894</v>
      </c>
      <c r="AM77" s="84">
        <v>42474</v>
      </c>
      <c r="AN77" s="4" t="s">
        <v>622</v>
      </c>
    </row>
    <row r="78" ht="12.95" customHeight="1" spans="1:40">
      <c r="A78" s="84">
        <v>44271</v>
      </c>
      <c r="B78" s="4" t="s">
        <v>619</v>
      </c>
      <c r="F78" s="2" t="s">
        <v>895</v>
      </c>
      <c r="H78" s="84">
        <v>43905</v>
      </c>
      <c r="I78" s="4" t="s">
        <v>603</v>
      </c>
      <c r="O78" s="84">
        <v>43540</v>
      </c>
      <c r="P78" s="4" t="s">
        <v>602</v>
      </c>
      <c r="W78" s="84">
        <v>43175</v>
      </c>
      <c r="X78" s="4" t="s">
        <v>617</v>
      </c>
      <c r="Y78" s="2" t="s">
        <v>641</v>
      </c>
      <c r="AB78" s="2" t="s">
        <v>896</v>
      </c>
      <c r="AE78" s="84">
        <v>42810</v>
      </c>
      <c r="AF78" s="4" t="s">
        <v>622</v>
      </c>
      <c r="AJ78" s="2" t="s">
        <v>897</v>
      </c>
      <c r="AM78" s="84">
        <v>42475</v>
      </c>
      <c r="AN78" s="4" t="s">
        <v>617</v>
      </c>
    </row>
    <row r="79" ht="12.95" customHeight="1" spans="1:40">
      <c r="A79" s="84">
        <v>44272</v>
      </c>
      <c r="B79" s="4" t="s">
        <v>618</v>
      </c>
      <c r="F79" s="2" t="s">
        <v>895</v>
      </c>
      <c r="H79" s="84">
        <v>43906</v>
      </c>
      <c r="I79" s="4" t="s">
        <v>620</v>
      </c>
      <c r="M79" s="2" t="s">
        <v>887</v>
      </c>
      <c r="O79" s="84">
        <v>43541</v>
      </c>
      <c r="P79" s="4" t="s">
        <v>603</v>
      </c>
      <c r="W79" s="84">
        <v>43176</v>
      </c>
      <c r="X79" s="4" t="s">
        <v>602</v>
      </c>
      <c r="AE79" s="84">
        <v>42811</v>
      </c>
      <c r="AF79" s="4" t="s">
        <v>617</v>
      </c>
      <c r="AJ79" s="2" t="s">
        <v>898</v>
      </c>
      <c r="AM79" s="84">
        <v>42476</v>
      </c>
      <c r="AN79" s="4" t="s">
        <v>602</v>
      </c>
    </row>
    <row r="80" ht="12.95" customHeight="1" spans="1:40">
      <c r="A80" s="84">
        <v>44273</v>
      </c>
      <c r="B80" s="4" t="s">
        <v>622</v>
      </c>
      <c r="F80" s="2" t="s">
        <v>895</v>
      </c>
      <c r="H80" s="84">
        <v>43907</v>
      </c>
      <c r="I80" s="4" t="s">
        <v>619</v>
      </c>
      <c r="M80" s="2" t="s">
        <v>899</v>
      </c>
      <c r="O80" s="84">
        <v>43542</v>
      </c>
      <c r="P80" s="4" t="s">
        <v>620</v>
      </c>
      <c r="T80" s="2" t="s">
        <v>900</v>
      </c>
      <c r="W80" s="84">
        <v>43177</v>
      </c>
      <c r="X80" s="4" t="s">
        <v>603</v>
      </c>
      <c r="AE80" s="84">
        <v>42812</v>
      </c>
      <c r="AF80" s="4" t="s">
        <v>602</v>
      </c>
      <c r="AM80" s="84">
        <v>42477</v>
      </c>
      <c r="AN80" s="4" t="s">
        <v>603</v>
      </c>
    </row>
    <row r="81" ht="12.95" customHeight="1" spans="1:40">
      <c r="A81" s="84">
        <v>44274</v>
      </c>
      <c r="B81" s="4" t="s">
        <v>617</v>
      </c>
      <c r="F81" s="2" t="s">
        <v>895</v>
      </c>
      <c r="H81" s="84">
        <v>43908</v>
      </c>
      <c r="I81" s="4" t="s">
        <v>618</v>
      </c>
      <c r="M81" s="2" t="s">
        <v>899</v>
      </c>
      <c r="O81" s="84">
        <v>43543</v>
      </c>
      <c r="P81" s="4" t="s">
        <v>619</v>
      </c>
      <c r="T81" s="2" t="s">
        <v>901</v>
      </c>
      <c r="W81" s="84">
        <v>43178</v>
      </c>
      <c r="X81" s="4" t="s">
        <v>620</v>
      </c>
      <c r="Y81" s="2" t="s">
        <v>625</v>
      </c>
      <c r="AB81" s="2" t="s">
        <v>902</v>
      </c>
      <c r="AC81" s="2" t="s">
        <v>903</v>
      </c>
      <c r="AE81" s="84">
        <v>42813</v>
      </c>
      <c r="AF81" s="4" t="s">
        <v>603</v>
      </c>
      <c r="AM81" s="84">
        <v>42478</v>
      </c>
      <c r="AN81" s="4" t="s">
        <v>620</v>
      </c>
    </row>
    <row r="82" ht="12.95" customHeight="1" spans="1:40">
      <c r="A82" s="84">
        <v>44275</v>
      </c>
      <c r="B82" s="4" t="s">
        <v>602</v>
      </c>
      <c r="H82" s="84">
        <v>43909</v>
      </c>
      <c r="I82" s="4" t="s">
        <v>622</v>
      </c>
      <c r="M82" s="2" t="s">
        <v>804</v>
      </c>
      <c r="O82" s="84">
        <v>43544</v>
      </c>
      <c r="P82" s="4" t="s">
        <v>618</v>
      </c>
      <c r="T82" s="2" t="s">
        <v>904</v>
      </c>
      <c r="W82" s="84">
        <v>43179</v>
      </c>
      <c r="X82" s="4" t="s">
        <v>619</v>
      </c>
      <c r="Y82" s="2" t="s">
        <v>630</v>
      </c>
      <c r="AB82" s="2" t="s">
        <v>905</v>
      </c>
      <c r="AC82" s="2" t="s">
        <v>906</v>
      </c>
      <c r="AE82" s="84">
        <v>42814</v>
      </c>
      <c r="AF82" s="4" t="s">
        <v>620</v>
      </c>
      <c r="AJ82" s="2" t="s">
        <v>804</v>
      </c>
      <c r="AM82" s="91">
        <v>42479</v>
      </c>
      <c r="AN82" s="4" t="s">
        <v>619</v>
      </c>
    </row>
    <row r="83" ht="12.95" customHeight="1" spans="1:40">
      <c r="A83" s="84">
        <v>44276</v>
      </c>
      <c r="B83" s="4" t="s">
        <v>603</v>
      </c>
      <c r="F83" s="2" t="s">
        <v>895</v>
      </c>
      <c r="H83" s="84">
        <v>43910</v>
      </c>
      <c r="I83" s="4" t="s">
        <v>617</v>
      </c>
      <c r="M83" s="2" t="s">
        <v>907</v>
      </c>
      <c r="O83" s="84">
        <v>43545</v>
      </c>
      <c r="P83" s="4" t="s">
        <v>622</v>
      </c>
      <c r="T83" s="2" t="s">
        <v>908</v>
      </c>
      <c r="W83" s="84">
        <v>43180</v>
      </c>
      <c r="X83" s="4" t="s">
        <v>618</v>
      </c>
      <c r="Y83" s="2" t="s">
        <v>635</v>
      </c>
      <c r="AB83" s="2" t="s">
        <v>909</v>
      </c>
      <c r="AC83" s="2" t="s">
        <v>910</v>
      </c>
      <c r="AE83" s="84">
        <v>42815</v>
      </c>
      <c r="AF83" s="4" t="s">
        <v>619</v>
      </c>
      <c r="AJ83" s="2" t="s">
        <v>911</v>
      </c>
      <c r="AM83" s="91">
        <v>42480</v>
      </c>
      <c r="AN83" s="4" t="s">
        <v>618</v>
      </c>
    </row>
    <row r="84" ht="12.95" customHeight="1" spans="1:40">
      <c r="A84" s="84">
        <v>44277</v>
      </c>
      <c r="B84" s="4" t="s">
        <v>620</v>
      </c>
      <c r="F84" s="2" t="s">
        <v>895</v>
      </c>
      <c r="H84" s="84">
        <v>43911</v>
      </c>
      <c r="I84" s="4" t="s">
        <v>602</v>
      </c>
      <c r="O84" s="84">
        <v>43546</v>
      </c>
      <c r="P84" s="4" t="s">
        <v>617</v>
      </c>
      <c r="T84" s="2" t="s">
        <v>904</v>
      </c>
      <c r="W84" s="84">
        <v>43181</v>
      </c>
      <c r="X84" s="4" t="s">
        <v>622</v>
      </c>
      <c r="Y84" s="2" t="s">
        <v>641</v>
      </c>
      <c r="AB84" s="2" t="s">
        <v>912</v>
      </c>
      <c r="AC84" s="2" t="s">
        <v>913</v>
      </c>
      <c r="AE84" s="84">
        <v>42816</v>
      </c>
      <c r="AF84" s="4" t="s">
        <v>618</v>
      </c>
      <c r="AJ84" s="2" t="s">
        <v>914</v>
      </c>
      <c r="AM84" s="84">
        <v>42481</v>
      </c>
      <c r="AN84" s="4" t="s">
        <v>622</v>
      </c>
    </row>
    <row r="85" ht="12.95" customHeight="1" spans="1:40">
      <c r="A85" s="84">
        <v>44278</v>
      </c>
      <c r="B85" s="4" t="s">
        <v>619</v>
      </c>
      <c r="F85" s="2" t="s">
        <v>915</v>
      </c>
      <c r="H85" s="84">
        <v>43912</v>
      </c>
      <c r="I85" s="4" t="s">
        <v>603</v>
      </c>
      <c r="O85" s="84">
        <v>43547</v>
      </c>
      <c r="P85" s="4" t="s">
        <v>602</v>
      </c>
      <c r="W85" s="84">
        <v>43182</v>
      </c>
      <c r="X85" s="4" t="s">
        <v>617</v>
      </c>
      <c r="Y85" s="2" t="s">
        <v>625</v>
      </c>
      <c r="AB85" s="2" t="s">
        <v>916</v>
      </c>
      <c r="AE85" s="84">
        <v>42817</v>
      </c>
      <c r="AF85" s="4" t="s">
        <v>622</v>
      </c>
      <c r="AJ85" s="2" t="s">
        <v>917</v>
      </c>
      <c r="AM85" s="84">
        <v>42482</v>
      </c>
      <c r="AN85" s="4" t="s">
        <v>617</v>
      </c>
    </row>
    <row r="86" ht="12.95" customHeight="1" spans="1:40">
      <c r="A86" s="84">
        <v>44279</v>
      </c>
      <c r="B86" s="4" t="s">
        <v>618</v>
      </c>
      <c r="H86" s="84">
        <v>43913</v>
      </c>
      <c r="I86" s="4" t="s">
        <v>620</v>
      </c>
      <c r="M86" s="2" t="s">
        <v>918</v>
      </c>
      <c r="O86" s="84">
        <v>43548</v>
      </c>
      <c r="P86" s="4" t="s">
        <v>603</v>
      </c>
      <c r="W86" s="84">
        <v>43183</v>
      </c>
      <c r="X86" s="4" t="s">
        <v>602</v>
      </c>
      <c r="AE86" s="84">
        <v>42818</v>
      </c>
      <c r="AF86" s="4" t="s">
        <v>617</v>
      </c>
      <c r="AJ86" s="2" t="s">
        <v>919</v>
      </c>
      <c r="AM86" s="84">
        <v>42483</v>
      </c>
      <c r="AN86" s="4" t="s">
        <v>602</v>
      </c>
    </row>
    <row r="87" ht="12.95" customHeight="1" spans="1:40">
      <c r="A87" s="84">
        <v>44280</v>
      </c>
      <c r="B87" s="4" t="s">
        <v>622</v>
      </c>
      <c r="H87" s="84">
        <v>43914</v>
      </c>
      <c r="I87" s="4" t="s">
        <v>619</v>
      </c>
      <c r="M87" s="2" t="s">
        <v>920</v>
      </c>
      <c r="O87" s="84">
        <v>43549</v>
      </c>
      <c r="P87" s="4" t="s">
        <v>620</v>
      </c>
      <c r="T87" s="2" t="s">
        <v>921</v>
      </c>
      <c r="W87" s="84">
        <v>43184</v>
      </c>
      <c r="X87" s="4" t="s">
        <v>603</v>
      </c>
      <c r="AE87" s="84">
        <v>42819</v>
      </c>
      <c r="AF87" s="4" t="s">
        <v>602</v>
      </c>
      <c r="AM87" s="84">
        <v>42484</v>
      </c>
      <c r="AN87" s="4" t="s">
        <v>603</v>
      </c>
    </row>
    <row r="88" ht="12.95" customHeight="1" spans="1:40">
      <c r="A88" s="84">
        <v>44281</v>
      </c>
      <c r="B88" s="4" t="s">
        <v>617</v>
      </c>
      <c r="H88" s="84">
        <v>43915</v>
      </c>
      <c r="I88" s="4" t="s">
        <v>618</v>
      </c>
      <c r="M88" s="2" t="s">
        <v>922</v>
      </c>
      <c r="O88" s="84">
        <v>43550</v>
      </c>
      <c r="P88" s="4" t="s">
        <v>619</v>
      </c>
      <c r="T88" s="2" t="s">
        <v>923</v>
      </c>
      <c r="W88" s="84">
        <v>43185</v>
      </c>
      <c r="X88" s="4" t="s">
        <v>620</v>
      </c>
      <c r="Y88" s="2" t="s">
        <v>630</v>
      </c>
      <c r="AB88" s="2" t="s">
        <v>924</v>
      </c>
      <c r="AC88" s="2" t="s">
        <v>925</v>
      </c>
      <c r="AE88" s="84">
        <v>42820</v>
      </c>
      <c r="AF88" s="4" t="s">
        <v>603</v>
      </c>
      <c r="AM88" s="84">
        <v>42485</v>
      </c>
      <c r="AN88" s="4" t="s">
        <v>620</v>
      </c>
    </row>
    <row r="89" ht="12.95" customHeight="1" spans="1:40">
      <c r="A89" s="84">
        <v>44282</v>
      </c>
      <c r="B89" s="4" t="s">
        <v>602</v>
      </c>
      <c r="H89" s="84">
        <v>43916</v>
      </c>
      <c r="I89" s="4" t="s">
        <v>622</v>
      </c>
      <c r="M89" s="2" t="s">
        <v>926</v>
      </c>
      <c r="O89" s="84">
        <v>43551</v>
      </c>
      <c r="P89" s="4" t="s">
        <v>618</v>
      </c>
      <c r="T89" s="2" t="s">
        <v>927</v>
      </c>
      <c r="W89" s="84">
        <v>43186</v>
      </c>
      <c r="X89" s="4" t="s">
        <v>619</v>
      </c>
      <c r="Y89" s="2" t="s">
        <v>635</v>
      </c>
      <c r="AB89" s="2" t="s">
        <v>928</v>
      </c>
      <c r="AC89" s="2" t="s">
        <v>929</v>
      </c>
      <c r="AE89" s="84">
        <v>42821</v>
      </c>
      <c r="AF89" s="4" t="s">
        <v>620</v>
      </c>
      <c r="AJ89" s="2" t="s">
        <v>930</v>
      </c>
      <c r="AM89" s="84">
        <v>42486</v>
      </c>
      <c r="AN89" s="4" t="s">
        <v>619</v>
      </c>
    </row>
    <row r="90" ht="12.95" customHeight="1" spans="1:40">
      <c r="A90" s="84">
        <v>44283</v>
      </c>
      <c r="B90" s="4" t="s">
        <v>603</v>
      </c>
      <c r="H90" s="84">
        <v>43917</v>
      </c>
      <c r="I90" s="4" t="s">
        <v>617</v>
      </c>
      <c r="M90" s="2" t="s">
        <v>931</v>
      </c>
      <c r="O90" s="84">
        <v>43552</v>
      </c>
      <c r="P90" s="4" t="s">
        <v>622</v>
      </c>
      <c r="T90" s="2" t="s">
        <v>932</v>
      </c>
      <c r="W90" s="84">
        <v>43187</v>
      </c>
      <c r="X90" s="4" t="s">
        <v>618</v>
      </c>
      <c r="Y90" s="2" t="s">
        <v>641</v>
      </c>
      <c r="AB90" s="2" t="s">
        <v>933</v>
      </c>
      <c r="AC90" s="2" t="s">
        <v>934</v>
      </c>
      <c r="AE90" s="84">
        <v>42822</v>
      </c>
      <c r="AF90" s="4" t="s">
        <v>619</v>
      </c>
      <c r="AJ90" s="2" t="s">
        <v>935</v>
      </c>
      <c r="AM90" s="84">
        <v>42487</v>
      </c>
      <c r="AN90" s="4" t="s">
        <v>618</v>
      </c>
    </row>
    <row r="91" ht="12.95" customHeight="1" spans="1:40">
      <c r="A91" s="84">
        <v>44284</v>
      </c>
      <c r="B91" s="4" t="s">
        <v>620</v>
      </c>
      <c r="H91" s="84">
        <v>43918</v>
      </c>
      <c r="I91" s="4" t="s">
        <v>602</v>
      </c>
      <c r="O91" s="84">
        <v>43553</v>
      </c>
      <c r="P91" s="4" t="s">
        <v>617</v>
      </c>
      <c r="T91" s="2" t="s">
        <v>936</v>
      </c>
      <c r="W91" s="84">
        <v>43188</v>
      </c>
      <c r="X91" s="4" t="s">
        <v>622</v>
      </c>
      <c r="Y91" s="2" t="s">
        <v>625</v>
      </c>
      <c r="AB91" s="2" t="s">
        <v>937</v>
      </c>
      <c r="AC91" s="2" t="s">
        <v>938</v>
      </c>
      <c r="AE91" s="84">
        <v>42823</v>
      </c>
      <c r="AF91" s="4" t="s">
        <v>618</v>
      </c>
      <c r="AJ91" s="2" t="s">
        <v>939</v>
      </c>
      <c r="AM91" s="84">
        <v>42488</v>
      </c>
      <c r="AN91" s="4" t="s">
        <v>622</v>
      </c>
    </row>
    <row r="92" ht="12.95" customHeight="1" spans="1:40">
      <c r="A92" s="84">
        <v>44285</v>
      </c>
      <c r="B92" s="4" t="s">
        <v>619</v>
      </c>
      <c r="H92" s="84">
        <v>43919</v>
      </c>
      <c r="I92" s="4" t="s">
        <v>603</v>
      </c>
      <c r="O92" s="84">
        <v>43554</v>
      </c>
      <c r="P92" s="4" t="s">
        <v>602</v>
      </c>
      <c r="W92" s="84">
        <v>43189</v>
      </c>
      <c r="X92" s="4" t="s">
        <v>617</v>
      </c>
      <c r="Y92" s="2" t="s">
        <v>630</v>
      </c>
      <c r="AB92" s="2" t="s">
        <v>940</v>
      </c>
      <c r="AE92" s="84">
        <v>42824</v>
      </c>
      <c r="AF92" s="4" t="s">
        <v>622</v>
      </c>
      <c r="AJ92" s="2" t="s">
        <v>941</v>
      </c>
      <c r="AM92" s="84">
        <v>42489</v>
      </c>
      <c r="AN92" s="4" t="s">
        <v>617</v>
      </c>
    </row>
    <row r="93" ht="12.95" customHeight="1" spans="1:40">
      <c r="A93" s="84">
        <v>44286</v>
      </c>
      <c r="B93" s="4" t="s">
        <v>618</v>
      </c>
      <c r="H93" s="84">
        <v>43920</v>
      </c>
      <c r="I93" s="4" t="s">
        <v>620</v>
      </c>
      <c r="M93" s="2" t="s">
        <v>942</v>
      </c>
      <c r="O93" s="84">
        <v>43555</v>
      </c>
      <c r="P93" s="4" t="s">
        <v>603</v>
      </c>
      <c r="W93" s="84">
        <v>43190</v>
      </c>
      <c r="X93" s="4" t="s">
        <v>602</v>
      </c>
      <c r="AE93" s="84">
        <v>42825</v>
      </c>
      <c r="AF93" s="4" t="s">
        <v>617</v>
      </c>
      <c r="AJ93" s="2" t="s">
        <v>943</v>
      </c>
      <c r="AM93" s="84">
        <v>42490</v>
      </c>
      <c r="AN93" s="4" t="s">
        <v>602</v>
      </c>
    </row>
    <row r="94" ht="12.95" customHeight="1" spans="1:40">
      <c r="A94" s="84">
        <v>44287</v>
      </c>
      <c r="B94" s="4" t="s">
        <v>622</v>
      </c>
      <c r="H94" s="84">
        <v>43921</v>
      </c>
      <c r="I94" s="4" t="s">
        <v>619</v>
      </c>
      <c r="M94" s="2" t="s">
        <v>944</v>
      </c>
      <c r="O94" s="84">
        <v>43556</v>
      </c>
      <c r="P94" s="4" t="s">
        <v>620</v>
      </c>
      <c r="T94" s="2" t="s">
        <v>945</v>
      </c>
      <c r="W94" s="84">
        <v>43191</v>
      </c>
      <c r="X94" s="4" t="s">
        <v>603</v>
      </c>
      <c r="AE94" s="84">
        <v>42826</v>
      </c>
      <c r="AF94" s="4" t="s">
        <v>602</v>
      </c>
      <c r="AJ94" s="2" t="s">
        <v>946</v>
      </c>
      <c r="AM94" s="84">
        <v>42491</v>
      </c>
      <c r="AN94" s="4" t="s">
        <v>603</v>
      </c>
    </row>
    <row r="95" ht="12.95" customHeight="1" spans="1:40">
      <c r="A95" s="84">
        <v>44288</v>
      </c>
      <c r="B95" s="4" t="s">
        <v>617</v>
      </c>
      <c r="H95" s="84">
        <v>43922</v>
      </c>
      <c r="I95" s="4" t="s">
        <v>618</v>
      </c>
      <c r="M95" s="2" t="s">
        <v>947</v>
      </c>
      <c r="O95" s="84">
        <v>43557</v>
      </c>
      <c r="P95" s="4" t="s">
        <v>619</v>
      </c>
      <c r="T95" s="2" t="s">
        <v>948</v>
      </c>
      <c r="W95" s="84">
        <v>43192</v>
      </c>
      <c r="X95" s="4" t="s">
        <v>620</v>
      </c>
      <c r="Y95" s="2" t="s">
        <v>641</v>
      </c>
      <c r="AB95" s="2" t="s">
        <v>949</v>
      </c>
      <c r="AC95" s="2" t="s">
        <v>950</v>
      </c>
      <c r="AE95" s="84">
        <v>42827</v>
      </c>
      <c r="AF95" s="4" t="s">
        <v>603</v>
      </c>
      <c r="AM95" s="84">
        <v>42492</v>
      </c>
      <c r="AN95" s="4" t="s">
        <v>620</v>
      </c>
    </row>
    <row r="96" ht="12.95" customHeight="1" spans="1:40">
      <c r="A96" s="84">
        <v>44289</v>
      </c>
      <c r="B96" s="4" t="s">
        <v>602</v>
      </c>
      <c r="H96" s="84">
        <v>43923</v>
      </c>
      <c r="I96" s="4" t="s">
        <v>622</v>
      </c>
      <c r="M96" s="2" t="s">
        <v>951</v>
      </c>
      <c r="O96" s="84">
        <v>43558</v>
      </c>
      <c r="P96" s="4" t="s">
        <v>618</v>
      </c>
      <c r="T96" s="2" t="s">
        <v>952</v>
      </c>
      <c r="W96" s="84">
        <v>43193</v>
      </c>
      <c r="X96" s="4" t="s">
        <v>619</v>
      </c>
      <c r="Y96" s="2" t="s">
        <v>625</v>
      </c>
      <c r="AB96" s="2" t="s">
        <v>953</v>
      </c>
      <c r="AC96" s="2" t="s">
        <v>954</v>
      </c>
      <c r="AE96" s="84">
        <v>42828</v>
      </c>
      <c r="AF96" s="4" t="s">
        <v>620</v>
      </c>
      <c r="AM96" s="84">
        <v>42493</v>
      </c>
      <c r="AN96" s="4" t="s">
        <v>619</v>
      </c>
    </row>
    <row r="97" ht="12.95" customHeight="1" spans="1:40">
      <c r="A97" s="84">
        <v>44290</v>
      </c>
      <c r="B97" s="4" t="s">
        <v>603</v>
      </c>
      <c r="H97" s="84">
        <v>43924</v>
      </c>
      <c r="I97" s="4" t="s">
        <v>617</v>
      </c>
      <c r="M97" s="2" t="s">
        <v>955</v>
      </c>
      <c r="O97" s="84">
        <v>43559</v>
      </c>
      <c r="P97" s="4" t="s">
        <v>622</v>
      </c>
      <c r="T97" s="2" t="s">
        <v>956</v>
      </c>
      <c r="W97" s="84">
        <v>43194</v>
      </c>
      <c r="X97" s="4" t="s">
        <v>618</v>
      </c>
      <c r="Y97" s="2" t="s">
        <v>630</v>
      </c>
      <c r="AB97" s="2" t="s">
        <v>957</v>
      </c>
      <c r="AC97" s="2" t="s">
        <v>958</v>
      </c>
      <c r="AE97" s="84">
        <v>42829</v>
      </c>
      <c r="AF97" s="4" t="s">
        <v>619</v>
      </c>
      <c r="AM97" s="84">
        <v>42494</v>
      </c>
      <c r="AN97" s="4" t="s">
        <v>618</v>
      </c>
    </row>
    <row r="98" ht="12.95" customHeight="1" spans="1:40">
      <c r="A98" s="84">
        <v>44291</v>
      </c>
      <c r="B98" s="4" t="s">
        <v>620</v>
      </c>
      <c r="H98" s="84">
        <v>43925</v>
      </c>
      <c r="I98" s="4" t="s">
        <v>602</v>
      </c>
      <c r="O98" s="84">
        <v>43560</v>
      </c>
      <c r="P98" s="4" t="s">
        <v>617</v>
      </c>
      <c r="T98" s="2" t="s">
        <v>959</v>
      </c>
      <c r="W98" s="84">
        <v>43195</v>
      </c>
      <c r="X98" s="4" t="s">
        <v>622</v>
      </c>
      <c r="AC98" s="2" t="s">
        <v>960</v>
      </c>
      <c r="AE98" s="84">
        <v>42830</v>
      </c>
      <c r="AF98" s="4" t="s">
        <v>618</v>
      </c>
      <c r="AJ98" s="2" t="s">
        <v>961</v>
      </c>
      <c r="AM98" s="84">
        <v>42495</v>
      </c>
      <c r="AN98" s="4" t="s">
        <v>622</v>
      </c>
    </row>
    <row r="99" ht="12.95" customHeight="1" spans="1:40">
      <c r="A99" s="84">
        <v>44292</v>
      </c>
      <c r="B99" s="4" t="s">
        <v>619</v>
      </c>
      <c r="H99" s="84">
        <v>43926</v>
      </c>
      <c r="I99" s="4" t="s">
        <v>603</v>
      </c>
      <c r="O99" s="84">
        <v>43561</v>
      </c>
      <c r="P99" s="4" t="s">
        <v>602</v>
      </c>
      <c r="W99" s="84">
        <v>43196</v>
      </c>
      <c r="X99" s="4" t="s">
        <v>617</v>
      </c>
      <c r="AE99" s="84">
        <v>42831</v>
      </c>
      <c r="AF99" s="4" t="s">
        <v>622</v>
      </c>
      <c r="AJ99" s="2" t="s">
        <v>962</v>
      </c>
      <c r="AM99" s="84">
        <v>42496</v>
      </c>
      <c r="AN99" s="4" t="s">
        <v>617</v>
      </c>
    </row>
    <row r="100" ht="12.95" customHeight="1" spans="1:40">
      <c r="A100" s="84">
        <v>44293</v>
      </c>
      <c r="B100" s="4" t="s">
        <v>618</v>
      </c>
      <c r="H100" s="84">
        <v>43927</v>
      </c>
      <c r="I100" s="4" t="s">
        <v>620</v>
      </c>
      <c r="O100" s="84">
        <v>43562</v>
      </c>
      <c r="P100" s="4" t="s">
        <v>603</v>
      </c>
      <c r="W100" s="84">
        <v>43197</v>
      </c>
      <c r="X100" s="4" t="s">
        <v>602</v>
      </c>
      <c r="AE100" s="84">
        <v>42832</v>
      </c>
      <c r="AF100" s="4" t="s">
        <v>617</v>
      </c>
      <c r="AJ100" s="2" t="s">
        <v>963</v>
      </c>
      <c r="AM100" s="84">
        <v>42497</v>
      </c>
      <c r="AN100" s="4" t="s">
        <v>602</v>
      </c>
    </row>
    <row r="101" ht="12.95" customHeight="1" spans="1:40">
      <c r="A101" s="84">
        <v>44294</v>
      </c>
      <c r="B101" s="4" t="s">
        <v>622</v>
      </c>
      <c r="H101" s="84">
        <v>43928</v>
      </c>
      <c r="I101" s="4" t="s">
        <v>619</v>
      </c>
      <c r="M101" s="2" t="s">
        <v>964</v>
      </c>
      <c r="O101" s="84">
        <v>43563</v>
      </c>
      <c r="P101" s="4" t="s">
        <v>620</v>
      </c>
      <c r="T101" s="2" t="s">
        <v>965</v>
      </c>
      <c r="W101" s="84">
        <v>43198</v>
      </c>
      <c r="X101" s="4" t="s">
        <v>603</v>
      </c>
      <c r="Y101" s="2" t="s">
        <v>635</v>
      </c>
      <c r="AB101" s="2" t="s">
        <v>966</v>
      </c>
      <c r="AC101" s="2" t="s">
        <v>925</v>
      </c>
      <c r="AE101" s="84">
        <v>42833</v>
      </c>
      <c r="AF101" s="4" t="s">
        <v>602</v>
      </c>
      <c r="AM101" s="84">
        <v>42498</v>
      </c>
      <c r="AN101" s="4" t="s">
        <v>603</v>
      </c>
    </row>
    <row r="102" ht="12.95" customHeight="1" spans="1:40">
      <c r="A102" s="84">
        <v>44295</v>
      </c>
      <c r="B102" s="4" t="s">
        <v>617</v>
      </c>
      <c r="H102" s="84">
        <v>43929</v>
      </c>
      <c r="I102" s="4" t="s">
        <v>618</v>
      </c>
      <c r="M102" s="2" t="s">
        <v>967</v>
      </c>
      <c r="O102" s="84">
        <v>43564</v>
      </c>
      <c r="P102" s="4" t="s">
        <v>619</v>
      </c>
      <c r="T102" s="2" t="s">
        <v>965</v>
      </c>
      <c r="W102" s="84">
        <v>43199</v>
      </c>
      <c r="X102" s="4" t="s">
        <v>620</v>
      </c>
      <c r="Y102" s="2" t="s">
        <v>641</v>
      </c>
      <c r="AA102" s="2">
        <v>4</v>
      </c>
      <c r="AB102" s="2" t="s">
        <v>968</v>
      </c>
      <c r="AC102" s="2" t="s">
        <v>969</v>
      </c>
      <c r="AE102" s="84">
        <v>42834</v>
      </c>
      <c r="AF102" s="4" t="s">
        <v>603</v>
      </c>
      <c r="AM102" s="84">
        <v>42499</v>
      </c>
      <c r="AN102" s="4" t="s">
        <v>620</v>
      </c>
    </row>
    <row r="103" ht="12.95" customHeight="1" spans="1:40">
      <c r="A103" s="84">
        <v>44296</v>
      </c>
      <c r="B103" s="4" t="s">
        <v>602</v>
      </c>
      <c r="H103" s="84">
        <v>43930</v>
      </c>
      <c r="I103" s="4" t="s">
        <v>622</v>
      </c>
      <c r="M103" s="2" t="s">
        <v>970</v>
      </c>
      <c r="O103" s="84">
        <v>43565</v>
      </c>
      <c r="P103" s="4" t="s">
        <v>618</v>
      </c>
      <c r="T103" s="2" t="s">
        <v>971</v>
      </c>
      <c r="W103" s="84">
        <v>43200</v>
      </c>
      <c r="X103" s="4" t="s">
        <v>619</v>
      </c>
      <c r="Y103" s="2" t="s">
        <v>625</v>
      </c>
      <c r="AA103" s="2">
        <v>4</v>
      </c>
      <c r="AB103" s="2" t="s">
        <v>972</v>
      </c>
      <c r="AC103" s="2" t="s">
        <v>958</v>
      </c>
      <c r="AE103" s="84">
        <v>42835</v>
      </c>
      <c r="AF103" s="4" t="s">
        <v>620</v>
      </c>
      <c r="AJ103" s="2" t="s">
        <v>804</v>
      </c>
      <c r="AM103" s="84">
        <v>42500</v>
      </c>
      <c r="AN103" s="4" t="s">
        <v>619</v>
      </c>
    </row>
    <row r="104" ht="12.95" customHeight="1" spans="1:40">
      <c r="A104" s="84">
        <v>44297</v>
      </c>
      <c r="B104" s="4" t="s">
        <v>603</v>
      </c>
      <c r="H104" s="84">
        <v>43931</v>
      </c>
      <c r="I104" s="4" t="s">
        <v>617</v>
      </c>
      <c r="M104" s="2" t="s">
        <v>973</v>
      </c>
      <c r="O104" s="84">
        <v>43566</v>
      </c>
      <c r="P104" s="4" t="s">
        <v>622</v>
      </c>
      <c r="T104" s="2" t="s">
        <v>974</v>
      </c>
      <c r="W104" s="84">
        <v>43201</v>
      </c>
      <c r="X104" s="4" t="s">
        <v>618</v>
      </c>
      <c r="Y104" s="2" t="s">
        <v>630</v>
      </c>
      <c r="AA104" s="2">
        <v>4</v>
      </c>
      <c r="AB104" s="2" t="s">
        <v>975</v>
      </c>
      <c r="AC104" s="2" t="s">
        <v>976</v>
      </c>
      <c r="AE104" s="84">
        <v>42836</v>
      </c>
      <c r="AF104" s="4" t="s">
        <v>619</v>
      </c>
      <c r="AJ104" s="2" t="s">
        <v>804</v>
      </c>
      <c r="AM104" s="84">
        <v>42501</v>
      </c>
      <c r="AN104" s="4" t="s">
        <v>618</v>
      </c>
    </row>
    <row r="105" ht="12.95" customHeight="1" spans="1:40">
      <c r="A105" s="84">
        <v>44298</v>
      </c>
      <c r="B105" s="4" t="s">
        <v>620</v>
      </c>
      <c r="H105" s="84">
        <v>43932</v>
      </c>
      <c r="I105" s="4" t="s">
        <v>602</v>
      </c>
      <c r="O105" s="84">
        <v>43567</v>
      </c>
      <c r="P105" s="4" t="s">
        <v>617</v>
      </c>
      <c r="T105" s="2" t="s">
        <v>971</v>
      </c>
      <c r="W105" s="84">
        <v>43202</v>
      </c>
      <c r="X105" s="4" t="s">
        <v>622</v>
      </c>
      <c r="AA105" s="2">
        <v>4</v>
      </c>
      <c r="AB105" s="2" t="s">
        <v>977</v>
      </c>
      <c r="AE105" s="84">
        <v>42837</v>
      </c>
      <c r="AF105" s="4" t="s">
        <v>618</v>
      </c>
      <c r="AJ105" s="2" t="s">
        <v>978</v>
      </c>
      <c r="AM105" s="84">
        <v>42502</v>
      </c>
      <c r="AN105" s="4" t="s">
        <v>622</v>
      </c>
    </row>
    <row r="106" ht="12.95" customHeight="1" spans="1:40">
      <c r="A106" s="84">
        <v>44299</v>
      </c>
      <c r="B106" s="4" t="s">
        <v>619</v>
      </c>
      <c r="H106" s="84">
        <v>43933</v>
      </c>
      <c r="I106" s="4" t="s">
        <v>603</v>
      </c>
      <c r="O106" s="84">
        <v>43568</v>
      </c>
      <c r="P106" s="4" t="s">
        <v>602</v>
      </c>
      <c r="W106" s="84">
        <v>43203</v>
      </c>
      <c r="X106" s="4" t="s">
        <v>617</v>
      </c>
      <c r="AA106" s="2">
        <v>4</v>
      </c>
      <c r="AB106" s="2" t="s">
        <v>979</v>
      </c>
      <c r="AC106" s="2" t="s">
        <v>980</v>
      </c>
      <c r="AE106" s="84">
        <v>42838</v>
      </c>
      <c r="AF106" s="4" t="s">
        <v>622</v>
      </c>
      <c r="AJ106" s="2" t="s">
        <v>981</v>
      </c>
      <c r="AM106" s="84">
        <v>42503</v>
      </c>
      <c r="AN106" s="4" t="s">
        <v>617</v>
      </c>
    </row>
    <row r="107" ht="12.95" customHeight="1" spans="1:40">
      <c r="A107" s="84">
        <v>44300</v>
      </c>
      <c r="B107" s="4" t="s">
        <v>618</v>
      </c>
      <c r="H107" s="84">
        <v>43934</v>
      </c>
      <c r="I107" s="4" t="s">
        <v>620</v>
      </c>
      <c r="M107" s="2" t="s">
        <v>982</v>
      </c>
      <c r="O107" s="84">
        <v>43569</v>
      </c>
      <c r="P107" s="4" t="s">
        <v>603</v>
      </c>
      <c r="W107" s="84">
        <v>43204</v>
      </c>
      <c r="X107" s="4" t="s">
        <v>602</v>
      </c>
      <c r="AE107" s="84">
        <v>42839</v>
      </c>
      <c r="AF107" s="4" t="s">
        <v>617</v>
      </c>
      <c r="AJ107" s="2" t="s">
        <v>983</v>
      </c>
      <c r="AM107" s="84">
        <v>42504</v>
      </c>
      <c r="AN107" s="4" t="s">
        <v>602</v>
      </c>
    </row>
    <row r="108" ht="12.95" customHeight="1" spans="1:40">
      <c r="A108" s="84">
        <v>44301</v>
      </c>
      <c r="B108" s="4" t="s">
        <v>622</v>
      </c>
      <c r="H108" s="84">
        <v>43935</v>
      </c>
      <c r="I108" s="4" t="s">
        <v>619</v>
      </c>
      <c r="M108" s="2" t="s">
        <v>984</v>
      </c>
      <c r="O108" s="84">
        <v>43570</v>
      </c>
      <c r="P108" s="4" t="s">
        <v>620</v>
      </c>
      <c r="T108" s="2" t="s">
        <v>985</v>
      </c>
      <c r="W108" s="84">
        <v>43205</v>
      </c>
      <c r="X108" s="4" t="s">
        <v>603</v>
      </c>
      <c r="AA108" s="2">
        <v>10</v>
      </c>
      <c r="AB108" s="2" t="s">
        <v>986</v>
      </c>
      <c r="AE108" s="84">
        <v>42840</v>
      </c>
      <c r="AF108" s="4" t="s">
        <v>602</v>
      </c>
      <c r="AM108" s="84">
        <v>42505</v>
      </c>
      <c r="AN108" s="4" t="s">
        <v>603</v>
      </c>
    </row>
    <row r="109" ht="12.95" customHeight="1" spans="1:43">
      <c r="A109" s="84">
        <v>44302</v>
      </c>
      <c r="B109" s="4" t="s">
        <v>617</v>
      </c>
      <c r="H109" s="84">
        <v>43936</v>
      </c>
      <c r="I109" s="4" t="s">
        <v>618</v>
      </c>
      <c r="O109" s="84">
        <v>43571</v>
      </c>
      <c r="P109" s="4" t="s">
        <v>619</v>
      </c>
      <c r="T109" s="2" t="s">
        <v>987</v>
      </c>
      <c r="W109" s="84">
        <v>43206</v>
      </c>
      <c r="X109" s="4" t="s">
        <v>620</v>
      </c>
      <c r="AA109" s="2">
        <v>4</v>
      </c>
      <c r="AB109" s="2" t="s">
        <v>988</v>
      </c>
      <c r="AE109" s="84">
        <v>42841</v>
      </c>
      <c r="AF109" s="4" t="s">
        <v>603</v>
      </c>
      <c r="AM109" s="84">
        <v>42506</v>
      </c>
      <c r="AN109" s="4" t="s">
        <v>620</v>
      </c>
      <c r="AQ109" s="81" t="s">
        <v>989</v>
      </c>
    </row>
    <row r="110" ht="12.95" customHeight="1" spans="1:43">
      <c r="A110" s="84">
        <v>44303</v>
      </c>
      <c r="B110" s="4" t="s">
        <v>602</v>
      </c>
      <c r="H110" s="84">
        <v>43937</v>
      </c>
      <c r="I110" s="4" t="s">
        <v>622</v>
      </c>
      <c r="O110" s="84">
        <v>43572</v>
      </c>
      <c r="P110" s="4" t="s">
        <v>618</v>
      </c>
      <c r="T110" s="2" t="s">
        <v>990</v>
      </c>
      <c r="W110" s="84">
        <v>43207</v>
      </c>
      <c r="X110" s="4" t="s">
        <v>619</v>
      </c>
      <c r="AA110" s="2">
        <v>4</v>
      </c>
      <c r="AB110" s="2" t="s">
        <v>991</v>
      </c>
      <c r="AE110" s="84">
        <v>42842</v>
      </c>
      <c r="AF110" s="4" t="s">
        <v>620</v>
      </c>
      <c r="AJ110" s="85" t="s">
        <v>992</v>
      </c>
      <c r="AM110" s="84">
        <v>42507</v>
      </c>
      <c r="AN110" s="4" t="s">
        <v>619</v>
      </c>
      <c r="AQ110" s="81" t="s">
        <v>993</v>
      </c>
    </row>
    <row r="111" ht="12.95" customHeight="1" spans="1:43">
      <c r="A111" s="84">
        <v>44304</v>
      </c>
      <c r="B111" s="4" t="s">
        <v>603</v>
      </c>
      <c r="H111" s="84">
        <v>43938</v>
      </c>
      <c r="I111" s="4" t="s">
        <v>617</v>
      </c>
      <c r="O111" s="84">
        <v>43573</v>
      </c>
      <c r="P111" s="4" t="s">
        <v>622</v>
      </c>
      <c r="T111" s="2" t="s">
        <v>994</v>
      </c>
      <c r="W111" s="84">
        <v>43208</v>
      </c>
      <c r="X111" s="4" t="s">
        <v>618</v>
      </c>
      <c r="AA111" s="2">
        <v>4</v>
      </c>
      <c r="AB111" s="2" t="s">
        <v>995</v>
      </c>
      <c r="AE111" s="84">
        <v>42843</v>
      </c>
      <c r="AF111" s="4" t="s">
        <v>619</v>
      </c>
      <c r="AJ111" s="85" t="s">
        <v>996</v>
      </c>
      <c r="AM111" s="84">
        <v>42508</v>
      </c>
      <c r="AN111" s="4" t="s">
        <v>618</v>
      </c>
      <c r="AQ111" s="81" t="s">
        <v>997</v>
      </c>
    </row>
    <row r="112" ht="12.95" customHeight="1" spans="1:43">
      <c r="A112" s="84">
        <v>44305</v>
      </c>
      <c r="B112" s="4" t="s">
        <v>620</v>
      </c>
      <c r="H112" s="84">
        <v>43939</v>
      </c>
      <c r="I112" s="4" t="s">
        <v>602</v>
      </c>
      <c r="O112" s="84">
        <v>43574</v>
      </c>
      <c r="P112" s="4" t="s">
        <v>617</v>
      </c>
      <c r="T112" s="2" t="s">
        <v>998</v>
      </c>
      <c r="W112" s="84">
        <v>43209</v>
      </c>
      <c r="X112" s="4" t="s">
        <v>622</v>
      </c>
      <c r="AB112" s="2" t="s">
        <v>999</v>
      </c>
      <c r="AE112" s="84">
        <v>42844</v>
      </c>
      <c r="AF112" s="4" t="s">
        <v>618</v>
      </c>
      <c r="AJ112" s="2" t="s">
        <v>1000</v>
      </c>
      <c r="AM112" s="84">
        <v>42509</v>
      </c>
      <c r="AN112" s="4" t="s">
        <v>622</v>
      </c>
      <c r="AQ112" s="81" t="s">
        <v>1001</v>
      </c>
    </row>
    <row r="113" ht="12.95" customHeight="1" spans="1:43">
      <c r="A113" s="84">
        <v>44306</v>
      </c>
      <c r="B113" s="4" t="s">
        <v>619</v>
      </c>
      <c r="H113" s="84">
        <v>43940</v>
      </c>
      <c r="I113" s="4" t="s">
        <v>603</v>
      </c>
      <c r="O113" s="84">
        <v>43575</v>
      </c>
      <c r="P113" s="4" t="s">
        <v>602</v>
      </c>
      <c r="W113" s="84">
        <v>43210</v>
      </c>
      <c r="X113" s="4" t="s">
        <v>617</v>
      </c>
      <c r="AB113" s="2" t="s">
        <v>1002</v>
      </c>
      <c r="AE113" s="84">
        <v>42845</v>
      </c>
      <c r="AF113" s="4" t="s">
        <v>622</v>
      </c>
      <c r="AJ113" s="2" t="s">
        <v>1003</v>
      </c>
      <c r="AM113" s="84">
        <v>42510</v>
      </c>
      <c r="AN113" s="4" t="s">
        <v>617</v>
      </c>
      <c r="AQ113" s="81" t="s">
        <v>1004</v>
      </c>
    </row>
    <row r="114" ht="12.95" customHeight="1" spans="1:43">
      <c r="A114" s="84">
        <v>44307</v>
      </c>
      <c r="B114" s="4" t="s">
        <v>618</v>
      </c>
      <c r="H114" s="84">
        <v>43941</v>
      </c>
      <c r="I114" s="4" t="s">
        <v>620</v>
      </c>
      <c r="O114" s="84">
        <v>43576</v>
      </c>
      <c r="P114" s="4" t="s">
        <v>603</v>
      </c>
      <c r="W114" s="84">
        <v>43211</v>
      </c>
      <c r="X114" s="4" t="s">
        <v>602</v>
      </c>
      <c r="AE114" s="84">
        <v>42846</v>
      </c>
      <c r="AF114" s="4" t="s">
        <v>617</v>
      </c>
      <c r="AJ114" s="2" t="s">
        <v>1005</v>
      </c>
      <c r="AM114" s="84">
        <v>42511</v>
      </c>
      <c r="AN114" s="4" t="s">
        <v>602</v>
      </c>
      <c r="AO114" s="80">
        <v>4</v>
      </c>
      <c r="AQ114" s="81" t="s">
        <v>1006</v>
      </c>
    </row>
    <row r="115" ht="12.95" customHeight="1" spans="1:43">
      <c r="A115" s="84">
        <v>44308</v>
      </c>
      <c r="B115" s="4" t="s">
        <v>622</v>
      </c>
      <c r="H115" s="84">
        <v>43942</v>
      </c>
      <c r="I115" s="4" t="s">
        <v>619</v>
      </c>
      <c r="O115" s="84">
        <v>43577</v>
      </c>
      <c r="P115" s="4" t="s">
        <v>620</v>
      </c>
      <c r="T115" s="2" t="s">
        <v>1007</v>
      </c>
      <c r="W115" s="84">
        <v>43212</v>
      </c>
      <c r="X115" s="4" t="s">
        <v>603</v>
      </c>
      <c r="AE115" s="84">
        <v>42847</v>
      </c>
      <c r="AF115" s="4" t="s">
        <v>602</v>
      </c>
      <c r="AM115" s="84">
        <v>42512</v>
      </c>
      <c r="AN115" s="4" t="s">
        <v>603</v>
      </c>
      <c r="AO115" s="80">
        <v>3</v>
      </c>
      <c r="AQ115" s="81" t="s">
        <v>1008</v>
      </c>
    </row>
    <row r="116" ht="12.95" customHeight="1" spans="1:43">
      <c r="A116" s="84">
        <v>44309</v>
      </c>
      <c r="B116" s="4" t="s">
        <v>617</v>
      </c>
      <c r="H116" s="84">
        <v>43943</v>
      </c>
      <c r="I116" s="4" t="s">
        <v>618</v>
      </c>
      <c r="O116" s="84">
        <v>43578</v>
      </c>
      <c r="P116" s="4" t="s">
        <v>619</v>
      </c>
      <c r="T116" s="2" t="s">
        <v>1009</v>
      </c>
      <c r="W116" s="84">
        <v>43213</v>
      </c>
      <c r="X116" s="4" t="s">
        <v>620</v>
      </c>
      <c r="AB116" s="2" t="s">
        <v>1010</v>
      </c>
      <c r="AC116" s="2" t="s">
        <v>925</v>
      </c>
      <c r="AE116" s="84">
        <v>42848</v>
      </c>
      <c r="AF116" s="4" t="s">
        <v>603</v>
      </c>
      <c r="AM116" s="84">
        <v>42513</v>
      </c>
      <c r="AN116" s="4" t="s">
        <v>620</v>
      </c>
      <c r="AQ116" s="81" t="s">
        <v>1011</v>
      </c>
    </row>
    <row r="117" ht="12.95" customHeight="1" spans="1:43">
      <c r="A117" s="84">
        <v>44310</v>
      </c>
      <c r="B117" s="4" t="s">
        <v>602</v>
      </c>
      <c r="H117" s="84">
        <v>43944</v>
      </c>
      <c r="I117" s="4" t="s">
        <v>622</v>
      </c>
      <c r="O117" s="84">
        <v>43579</v>
      </c>
      <c r="P117" s="4" t="s">
        <v>618</v>
      </c>
      <c r="T117" s="2" t="s">
        <v>1012</v>
      </c>
      <c r="W117" s="84">
        <v>43214</v>
      </c>
      <c r="X117" s="4" t="s">
        <v>619</v>
      </c>
      <c r="AB117" s="2" t="s">
        <v>1013</v>
      </c>
      <c r="AC117" s="2" t="s">
        <v>1014</v>
      </c>
      <c r="AE117" s="84">
        <v>42849</v>
      </c>
      <c r="AF117" s="4" t="s">
        <v>620</v>
      </c>
      <c r="AJ117" s="2" t="s">
        <v>1015</v>
      </c>
      <c r="AM117" s="84">
        <v>42514</v>
      </c>
      <c r="AN117" s="4" t="s">
        <v>619</v>
      </c>
      <c r="AQ117" s="81" t="s">
        <v>1016</v>
      </c>
    </row>
    <row r="118" ht="12.95" customHeight="1" spans="1:43">
      <c r="A118" s="84">
        <v>44311</v>
      </c>
      <c r="B118" s="4" t="s">
        <v>603</v>
      </c>
      <c r="H118" s="84">
        <v>43945</v>
      </c>
      <c r="I118" s="4" t="s">
        <v>617</v>
      </c>
      <c r="O118" s="84">
        <v>43580</v>
      </c>
      <c r="P118" s="4" t="s">
        <v>622</v>
      </c>
      <c r="T118" s="2" t="s">
        <v>1017</v>
      </c>
      <c r="W118" s="84">
        <v>43215</v>
      </c>
      <c r="X118" s="4" t="s">
        <v>618</v>
      </c>
      <c r="AB118" s="2" t="s">
        <v>1018</v>
      </c>
      <c r="AC118" s="2" t="s">
        <v>1019</v>
      </c>
      <c r="AE118" s="84">
        <v>42850</v>
      </c>
      <c r="AF118" s="4" t="s">
        <v>619</v>
      </c>
      <c r="AJ118" s="2" t="s">
        <v>1020</v>
      </c>
      <c r="AM118" s="84">
        <v>42515</v>
      </c>
      <c r="AN118" s="4" t="s">
        <v>618</v>
      </c>
      <c r="AQ118" s="81" t="s">
        <v>1021</v>
      </c>
    </row>
    <row r="119" ht="12.95" customHeight="1" spans="1:43">
      <c r="A119" s="84">
        <v>44312</v>
      </c>
      <c r="B119" s="4" t="s">
        <v>620</v>
      </c>
      <c r="H119" s="84">
        <v>43946</v>
      </c>
      <c r="I119" s="4" t="s">
        <v>602</v>
      </c>
      <c r="O119" s="84">
        <v>43581</v>
      </c>
      <c r="P119" s="4" t="s">
        <v>617</v>
      </c>
      <c r="T119" s="2" t="s">
        <v>1022</v>
      </c>
      <c r="W119" s="84">
        <v>43216</v>
      </c>
      <c r="X119" s="4" t="s">
        <v>622</v>
      </c>
      <c r="Y119" s="2">
        <v>3</v>
      </c>
      <c r="AB119" s="2" t="s">
        <v>1023</v>
      </c>
      <c r="AC119" s="2" t="s">
        <v>1024</v>
      </c>
      <c r="AE119" s="84">
        <v>42851</v>
      </c>
      <c r="AF119" s="4" t="s">
        <v>618</v>
      </c>
      <c r="AJ119" s="2" t="s">
        <v>1025</v>
      </c>
      <c r="AM119" s="84">
        <v>42516</v>
      </c>
      <c r="AN119" s="4" t="s">
        <v>622</v>
      </c>
      <c r="AQ119" s="81" t="s">
        <v>1026</v>
      </c>
    </row>
    <row r="120" ht="12.95" customHeight="1" spans="1:43">
      <c r="A120" s="84">
        <v>44313</v>
      </c>
      <c r="B120" s="4" t="s">
        <v>619</v>
      </c>
      <c r="H120" s="84">
        <v>43947</v>
      </c>
      <c r="I120" s="4" t="s">
        <v>603</v>
      </c>
      <c r="O120" s="84">
        <v>43582</v>
      </c>
      <c r="P120" s="4" t="s">
        <v>602</v>
      </c>
      <c r="W120" s="84">
        <v>43217</v>
      </c>
      <c r="X120" s="4" t="s">
        <v>617</v>
      </c>
      <c r="AB120" s="2" t="s">
        <v>1027</v>
      </c>
      <c r="AC120" s="2" t="s">
        <v>1028</v>
      </c>
      <c r="AE120" s="84">
        <v>42852</v>
      </c>
      <c r="AF120" s="4" t="s">
        <v>622</v>
      </c>
      <c r="AJ120" s="2" t="s">
        <v>1029</v>
      </c>
      <c r="AM120" s="84">
        <v>42517</v>
      </c>
      <c r="AN120" s="4" t="s">
        <v>617</v>
      </c>
      <c r="AQ120" s="81" t="s">
        <v>1030</v>
      </c>
    </row>
    <row r="121" ht="12.95" customHeight="1" spans="1:43">
      <c r="A121" s="84">
        <v>44314</v>
      </c>
      <c r="B121" s="4" t="s">
        <v>618</v>
      </c>
      <c r="H121" s="84">
        <v>43948</v>
      </c>
      <c r="I121" s="4" t="s">
        <v>620</v>
      </c>
      <c r="O121" s="84">
        <v>43583</v>
      </c>
      <c r="P121" s="4" t="s">
        <v>603</v>
      </c>
      <c r="W121" s="84">
        <v>43218</v>
      </c>
      <c r="X121" s="4" t="s">
        <v>602</v>
      </c>
      <c r="AB121" s="2" t="s">
        <v>1031</v>
      </c>
      <c r="AE121" s="84">
        <v>42853</v>
      </c>
      <c r="AF121" s="4" t="s">
        <v>617</v>
      </c>
      <c r="AJ121" s="2" t="s">
        <v>1032</v>
      </c>
      <c r="AM121" s="84">
        <v>42518</v>
      </c>
      <c r="AN121" s="4" t="s">
        <v>602</v>
      </c>
      <c r="AO121" s="80">
        <v>4</v>
      </c>
      <c r="AQ121" s="81" t="s">
        <v>1033</v>
      </c>
    </row>
    <row r="122" ht="12.95" customHeight="1" spans="1:40">
      <c r="A122" s="84">
        <v>44315</v>
      </c>
      <c r="B122" s="4" t="s">
        <v>622</v>
      </c>
      <c r="H122" s="84">
        <v>43949</v>
      </c>
      <c r="I122" s="4" t="s">
        <v>619</v>
      </c>
      <c r="O122" s="84">
        <v>43584</v>
      </c>
      <c r="P122" s="4" t="s">
        <v>620</v>
      </c>
      <c r="T122" s="2" t="s">
        <v>1034</v>
      </c>
      <c r="W122" s="84">
        <v>43219</v>
      </c>
      <c r="X122" s="4" t="s">
        <v>603</v>
      </c>
      <c r="AE122" s="84">
        <v>42854</v>
      </c>
      <c r="AF122" s="4" t="s">
        <v>602</v>
      </c>
      <c r="AM122" s="84">
        <v>42519</v>
      </c>
      <c r="AN122" s="4" t="s">
        <v>603</v>
      </c>
    </row>
    <row r="123" ht="12.95" customHeight="1" spans="1:43">
      <c r="A123" s="84">
        <v>44316</v>
      </c>
      <c r="B123" s="4" t="s">
        <v>617</v>
      </c>
      <c r="H123" s="84">
        <v>43950</v>
      </c>
      <c r="I123" s="4" t="s">
        <v>618</v>
      </c>
      <c r="O123" s="84">
        <v>43585</v>
      </c>
      <c r="P123" s="4" t="s">
        <v>619</v>
      </c>
      <c r="T123" s="2" t="s">
        <v>1035</v>
      </c>
      <c r="W123" s="84">
        <v>43220</v>
      </c>
      <c r="X123" s="4" t="s">
        <v>620</v>
      </c>
      <c r="AE123" s="84">
        <v>42855</v>
      </c>
      <c r="AF123" s="4" t="s">
        <v>603</v>
      </c>
      <c r="AM123" s="84">
        <v>42520</v>
      </c>
      <c r="AN123" s="4" t="s">
        <v>620</v>
      </c>
      <c r="AO123" s="80">
        <v>1</v>
      </c>
      <c r="AQ123" s="81" t="s">
        <v>1036</v>
      </c>
    </row>
    <row r="124" ht="12.95" customHeight="1" spans="1:43">
      <c r="A124" s="84">
        <v>44317</v>
      </c>
      <c r="B124" s="4" t="s">
        <v>602</v>
      </c>
      <c r="H124" s="84">
        <v>43951</v>
      </c>
      <c r="I124" s="4" t="s">
        <v>622</v>
      </c>
      <c r="O124" s="84">
        <v>43586</v>
      </c>
      <c r="P124" s="4" t="s">
        <v>618</v>
      </c>
      <c r="R124" s="2">
        <v>8</v>
      </c>
      <c r="T124" s="2" t="s">
        <v>1037</v>
      </c>
      <c r="W124" s="84">
        <v>43221</v>
      </c>
      <c r="X124" s="4" t="s">
        <v>619</v>
      </c>
      <c r="AC124" s="2" t="s">
        <v>1028</v>
      </c>
      <c r="AE124" s="84">
        <v>42856</v>
      </c>
      <c r="AF124" s="4" t="s">
        <v>620</v>
      </c>
      <c r="AM124" s="84">
        <v>42521</v>
      </c>
      <c r="AN124" s="4" t="s">
        <v>619</v>
      </c>
      <c r="AQ124" s="81" t="s">
        <v>1038</v>
      </c>
    </row>
    <row r="125" ht="12.95" customHeight="1" spans="1:43">
      <c r="A125" s="84">
        <v>44318</v>
      </c>
      <c r="B125" s="4" t="s">
        <v>603</v>
      </c>
      <c r="H125" s="84">
        <v>43952</v>
      </c>
      <c r="I125" s="4" t="s">
        <v>617</v>
      </c>
      <c r="O125" s="84">
        <v>43587</v>
      </c>
      <c r="P125" s="4" t="s">
        <v>622</v>
      </c>
      <c r="W125" s="84">
        <v>43222</v>
      </c>
      <c r="X125" s="4" t="s">
        <v>618</v>
      </c>
      <c r="AB125" s="2" t="s">
        <v>1039</v>
      </c>
      <c r="AC125" s="2" t="s">
        <v>1040</v>
      </c>
      <c r="AE125" s="84">
        <v>42857</v>
      </c>
      <c r="AF125" s="4" t="s">
        <v>619</v>
      </c>
      <c r="AJ125" s="2" t="s">
        <v>1041</v>
      </c>
      <c r="AM125" s="84">
        <v>42522</v>
      </c>
      <c r="AN125" s="4" t="s">
        <v>618</v>
      </c>
      <c r="AQ125" s="81" t="s">
        <v>1042</v>
      </c>
    </row>
    <row r="126" ht="12.95" customHeight="1" spans="1:43">
      <c r="A126" s="84">
        <v>44319</v>
      </c>
      <c r="B126" s="4" t="s">
        <v>620</v>
      </c>
      <c r="H126" s="84">
        <v>43953</v>
      </c>
      <c r="I126" s="4" t="s">
        <v>602</v>
      </c>
      <c r="O126" s="84">
        <v>43588</v>
      </c>
      <c r="P126" s="4" t="s">
        <v>617</v>
      </c>
      <c r="W126" s="84">
        <v>43223</v>
      </c>
      <c r="X126" s="4" t="s">
        <v>622</v>
      </c>
      <c r="AB126" s="2" t="s">
        <v>1043</v>
      </c>
      <c r="AC126" s="2" t="s">
        <v>1044</v>
      </c>
      <c r="AE126" s="84">
        <v>42858</v>
      </c>
      <c r="AF126" s="4" t="s">
        <v>618</v>
      </c>
      <c r="AJ126" s="2" t="s">
        <v>1045</v>
      </c>
      <c r="AM126" s="84">
        <v>42523</v>
      </c>
      <c r="AN126" s="4" t="s">
        <v>622</v>
      </c>
      <c r="AO126" s="80">
        <v>1.5</v>
      </c>
      <c r="AQ126" s="81" t="s">
        <v>1046</v>
      </c>
    </row>
    <row r="127" ht="12.95" customHeight="1" spans="1:43">
      <c r="A127" s="84">
        <v>44320</v>
      </c>
      <c r="B127" s="4" t="s">
        <v>619</v>
      </c>
      <c r="H127" s="84">
        <v>43954</v>
      </c>
      <c r="I127" s="4" t="s">
        <v>603</v>
      </c>
      <c r="O127" s="84">
        <v>43589</v>
      </c>
      <c r="P127" s="4" t="s">
        <v>602</v>
      </c>
      <c r="W127" s="84">
        <v>43224</v>
      </c>
      <c r="X127" s="4" t="s">
        <v>617</v>
      </c>
      <c r="AB127" s="2" t="s">
        <v>1047</v>
      </c>
      <c r="AC127" s="2" t="s">
        <v>1019</v>
      </c>
      <c r="AE127" s="84">
        <v>42859</v>
      </c>
      <c r="AF127" s="4" t="s">
        <v>622</v>
      </c>
      <c r="AJ127" s="2" t="s">
        <v>1048</v>
      </c>
      <c r="AM127" s="84">
        <v>42524</v>
      </c>
      <c r="AN127" s="4" t="s">
        <v>617</v>
      </c>
      <c r="AQ127" s="81" t="s">
        <v>1049</v>
      </c>
    </row>
    <row r="128" ht="12.95" customHeight="1" spans="1:40">
      <c r="A128" s="84">
        <v>44321</v>
      </c>
      <c r="B128" s="4" t="s">
        <v>618</v>
      </c>
      <c r="H128" s="84">
        <v>43955</v>
      </c>
      <c r="I128" s="4" t="s">
        <v>620</v>
      </c>
      <c r="O128" s="84">
        <v>43590</v>
      </c>
      <c r="P128" s="4" t="s">
        <v>603</v>
      </c>
      <c r="T128" s="2" t="s">
        <v>1050</v>
      </c>
      <c r="W128" s="84">
        <v>43225</v>
      </c>
      <c r="X128" s="4" t="s">
        <v>602</v>
      </c>
      <c r="AC128" s="2" t="s">
        <v>1051</v>
      </c>
      <c r="AE128" s="84">
        <v>42860</v>
      </c>
      <c r="AF128" s="4" t="s">
        <v>617</v>
      </c>
      <c r="AJ128" s="2" t="s">
        <v>1052</v>
      </c>
      <c r="AM128" s="84">
        <v>42525</v>
      </c>
      <c r="AN128" s="4" t="s">
        <v>602</v>
      </c>
    </row>
    <row r="129" ht="12.95" customHeight="1" spans="1:40">
      <c r="A129" s="84">
        <v>44322</v>
      </c>
      <c r="B129" s="4" t="s">
        <v>622</v>
      </c>
      <c r="H129" s="84">
        <v>43956</v>
      </c>
      <c r="I129" s="4" t="s">
        <v>619</v>
      </c>
      <c r="O129" s="84">
        <v>43591</v>
      </c>
      <c r="P129" s="4" t="s">
        <v>620</v>
      </c>
      <c r="T129" s="2" t="s">
        <v>1053</v>
      </c>
      <c r="W129" s="84">
        <v>43226</v>
      </c>
      <c r="X129" s="4" t="s">
        <v>603</v>
      </c>
      <c r="AE129" s="84">
        <v>42861</v>
      </c>
      <c r="AF129" s="4" t="s">
        <v>602</v>
      </c>
      <c r="AG129" s="2">
        <v>8</v>
      </c>
      <c r="AJ129" s="2" t="s">
        <v>1054</v>
      </c>
      <c r="AM129" s="84">
        <v>42526</v>
      </c>
      <c r="AN129" s="4" t="s">
        <v>603</v>
      </c>
    </row>
    <row r="130" ht="12.95" customHeight="1" spans="1:43">
      <c r="A130" s="84">
        <v>44323</v>
      </c>
      <c r="B130" s="4" t="s">
        <v>617</v>
      </c>
      <c r="H130" s="84">
        <v>43957</v>
      </c>
      <c r="I130" s="4" t="s">
        <v>618</v>
      </c>
      <c r="M130" s="2" t="s">
        <v>1055</v>
      </c>
      <c r="O130" s="84">
        <v>43592</v>
      </c>
      <c r="P130" s="4" t="s">
        <v>619</v>
      </c>
      <c r="T130" s="2" t="s">
        <v>1056</v>
      </c>
      <c r="W130" s="84">
        <v>43227</v>
      </c>
      <c r="X130" s="4" t="s">
        <v>620</v>
      </c>
      <c r="AB130" s="2" t="s">
        <v>1057</v>
      </c>
      <c r="AC130" s="2" t="s">
        <v>1058</v>
      </c>
      <c r="AE130" s="84">
        <v>42862</v>
      </c>
      <c r="AF130" s="4" t="s">
        <v>603</v>
      </c>
      <c r="AM130" s="84">
        <v>42527</v>
      </c>
      <c r="AN130" s="4" t="s">
        <v>620</v>
      </c>
      <c r="AQ130" s="81" t="s">
        <v>1059</v>
      </c>
    </row>
    <row r="131" ht="12.95" customHeight="1" spans="1:43">
      <c r="A131" s="84">
        <v>44324</v>
      </c>
      <c r="B131" s="4" t="s">
        <v>602</v>
      </c>
      <c r="H131" s="84">
        <v>43958</v>
      </c>
      <c r="I131" s="4" t="s">
        <v>622</v>
      </c>
      <c r="M131" s="2" t="s">
        <v>1060</v>
      </c>
      <c r="O131" s="84">
        <v>43593</v>
      </c>
      <c r="P131" s="4" t="s">
        <v>618</v>
      </c>
      <c r="T131" s="2" t="s">
        <v>1061</v>
      </c>
      <c r="W131" s="84">
        <v>43228</v>
      </c>
      <c r="X131" s="4" t="s">
        <v>619</v>
      </c>
      <c r="AB131" s="2" t="s">
        <v>744</v>
      </c>
      <c r="AC131" s="2" t="s">
        <v>1014</v>
      </c>
      <c r="AE131" s="84">
        <v>42863</v>
      </c>
      <c r="AF131" s="4" t="s">
        <v>620</v>
      </c>
      <c r="AJ131" s="2" t="s">
        <v>1062</v>
      </c>
      <c r="AM131" s="84">
        <v>42528</v>
      </c>
      <c r="AN131" s="4" t="s">
        <v>619</v>
      </c>
      <c r="AQ131" s="81" t="s">
        <v>1063</v>
      </c>
    </row>
    <row r="132" ht="12.95" customHeight="1" spans="1:43">
      <c r="A132" s="84">
        <v>44325</v>
      </c>
      <c r="B132" s="4" t="s">
        <v>603</v>
      </c>
      <c r="H132" s="84">
        <v>43959</v>
      </c>
      <c r="I132" s="4" t="s">
        <v>617</v>
      </c>
      <c r="M132" s="2" t="s">
        <v>1060</v>
      </c>
      <c r="O132" s="84">
        <v>43594</v>
      </c>
      <c r="P132" s="4" t="s">
        <v>622</v>
      </c>
      <c r="T132" s="2" t="s">
        <v>1064</v>
      </c>
      <c r="W132" s="84">
        <v>43229</v>
      </c>
      <c r="X132" s="4" t="s">
        <v>618</v>
      </c>
      <c r="AB132" s="2" t="s">
        <v>1065</v>
      </c>
      <c r="AC132" s="2" t="s">
        <v>1066</v>
      </c>
      <c r="AE132" s="84">
        <v>42864</v>
      </c>
      <c r="AF132" s="4" t="s">
        <v>619</v>
      </c>
      <c r="AG132" s="2">
        <v>3</v>
      </c>
      <c r="AJ132" s="2" t="s">
        <v>1067</v>
      </c>
      <c r="AM132" s="84">
        <v>42529</v>
      </c>
      <c r="AN132" s="4" t="s">
        <v>618</v>
      </c>
      <c r="AO132" s="80">
        <v>1</v>
      </c>
      <c r="AQ132" s="81" t="s">
        <v>1068</v>
      </c>
    </row>
    <row r="133" ht="12.95" customHeight="1" spans="1:40">
      <c r="A133" s="84">
        <v>44326</v>
      </c>
      <c r="B133" s="4" t="s">
        <v>620</v>
      </c>
      <c r="H133" s="84">
        <v>43960</v>
      </c>
      <c r="I133" s="4" t="s">
        <v>602</v>
      </c>
      <c r="O133" s="84">
        <v>43595</v>
      </c>
      <c r="P133" s="4" t="s">
        <v>617</v>
      </c>
      <c r="W133" s="84">
        <v>43230</v>
      </c>
      <c r="X133" s="4" t="s">
        <v>622</v>
      </c>
      <c r="AB133" s="2" t="s">
        <v>1069</v>
      </c>
      <c r="AC133" s="2" t="s">
        <v>1070</v>
      </c>
      <c r="AE133" s="84">
        <v>42865</v>
      </c>
      <c r="AF133" s="4" t="s">
        <v>618</v>
      </c>
      <c r="AJ133" s="2" t="s">
        <v>1071</v>
      </c>
      <c r="AM133" s="84">
        <v>42530</v>
      </c>
      <c r="AN133" s="4" t="s">
        <v>622</v>
      </c>
    </row>
    <row r="134" ht="12.95" customHeight="1" spans="1:40">
      <c r="A134" s="84">
        <v>44327</v>
      </c>
      <c r="B134" s="4" t="s">
        <v>619</v>
      </c>
      <c r="H134" s="84">
        <v>43961</v>
      </c>
      <c r="I134" s="4" t="s">
        <v>603</v>
      </c>
      <c r="O134" s="84">
        <v>43596</v>
      </c>
      <c r="P134" s="4" t="s">
        <v>602</v>
      </c>
      <c r="W134" s="84">
        <v>43231</v>
      </c>
      <c r="X134" s="4" t="s">
        <v>617</v>
      </c>
      <c r="AB134" s="2" t="s">
        <v>1072</v>
      </c>
      <c r="AC134" s="2" t="s">
        <v>475</v>
      </c>
      <c r="AE134" s="84">
        <v>42866</v>
      </c>
      <c r="AF134" s="4" t="s">
        <v>622</v>
      </c>
      <c r="AJ134" s="2" t="s">
        <v>744</v>
      </c>
      <c r="AM134" s="84">
        <v>42531</v>
      </c>
      <c r="AN134" s="4" t="s">
        <v>617</v>
      </c>
    </row>
    <row r="135" ht="12.95" customHeight="1" spans="1:40">
      <c r="A135" s="84">
        <v>44328</v>
      </c>
      <c r="B135" s="4" t="s">
        <v>618</v>
      </c>
      <c r="H135" s="84">
        <v>43962</v>
      </c>
      <c r="I135" s="4" t="s">
        <v>620</v>
      </c>
      <c r="M135" s="2" t="s">
        <v>1073</v>
      </c>
      <c r="O135" s="84">
        <v>43597</v>
      </c>
      <c r="P135" s="4" t="s">
        <v>603</v>
      </c>
      <c r="W135" s="84">
        <v>43232</v>
      </c>
      <c r="X135" s="4" t="s">
        <v>602</v>
      </c>
      <c r="AC135" s="2" t="s">
        <v>1074</v>
      </c>
      <c r="AE135" s="84">
        <v>42867</v>
      </c>
      <c r="AF135" s="4" t="s">
        <v>617</v>
      </c>
      <c r="AJ135" s="2" t="s">
        <v>744</v>
      </c>
      <c r="AM135" s="84">
        <v>42532</v>
      </c>
      <c r="AN135" s="4" t="s">
        <v>602</v>
      </c>
    </row>
    <row r="136" ht="12.95" customHeight="1" spans="1:43">
      <c r="A136" s="84">
        <v>44329</v>
      </c>
      <c r="B136" s="4" t="s">
        <v>622</v>
      </c>
      <c r="H136" s="84">
        <v>43963</v>
      </c>
      <c r="I136" s="4" t="s">
        <v>619</v>
      </c>
      <c r="M136" s="2" t="s">
        <v>1073</v>
      </c>
      <c r="O136" s="84">
        <v>43598</v>
      </c>
      <c r="P136" s="4" t="s">
        <v>620</v>
      </c>
      <c r="W136" s="84">
        <v>43233</v>
      </c>
      <c r="X136" s="4" t="s">
        <v>603</v>
      </c>
      <c r="AC136" s="2" t="s">
        <v>62</v>
      </c>
      <c r="AE136" s="84">
        <v>42868</v>
      </c>
      <c r="AF136" s="4" t="s">
        <v>602</v>
      </c>
      <c r="AM136" s="84">
        <v>42533</v>
      </c>
      <c r="AN136" s="4" t="s">
        <v>603</v>
      </c>
      <c r="AO136" s="80">
        <v>3.5</v>
      </c>
      <c r="AQ136" s="81" t="s">
        <v>1075</v>
      </c>
    </row>
    <row r="137" ht="12.95" customHeight="1" spans="1:43">
      <c r="A137" s="84">
        <v>44330</v>
      </c>
      <c r="B137" s="4" t="s">
        <v>617</v>
      </c>
      <c r="H137" s="84">
        <v>43964</v>
      </c>
      <c r="I137" s="4" t="s">
        <v>618</v>
      </c>
      <c r="M137" s="2" t="s">
        <v>1076</v>
      </c>
      <c r="O137" s="84">
        <v>43599</v>
      </c>
      <c r="P137" s="4" t="s">
        <v>619</v>
      </c>
      <c r="W137" s="84">
        <v>43234</v>
      </c>
      <c r="X137" s="4" t="s">
        <v>620</v>
      </c>
      <c r="AB137" s="2" t="s">
        <v>1077</v>
      </c>
      <c r="AC137" s="2" t="s">
        <v>1058</v>
      </c>
      <c r="AE137" s="84">
        <v>42869</v>
      </c>
      <c r="AF137" s="4" t="s">
        <v>603</v>
      </c>
      <c r="AM137" s="84">
        <v>42534</v>
      </c>
      <c r="AN137" s="4" t="s">
        <v>620</v>
      </c>
      <c r="AQ137" s="81" t="s">
        <v>1078</v>
      </c>
    </row>
    <row r="138" ht="12.95" customHeight="1" spans="1:43">
      <c r="A138" s="84">
        <v>44331</v>
      </c>
      <c r="B138" s="4" t="s">
        <v>602</v>
      </c>
      <c r="H138" s="84">
        <v>43965</v>
      </c>
      <c r="I138" s="4" t="s">
        <v>622</v>
      </c>
      <c r="M138" s="2" t="s">
        <v>1079</v>
      </c>
      <c r="O138" s="84">
        <v>43600</v>
      </c>
      <c r="P138" s="4" t="s">
        <v>618</v>
      </c>
      <c r="W138" s="84">
        <v>43235</v>
      </c>
      <c r="X138" s="4" t="s">
        <v>619</v>
      </c>
      <c r="AB138" s="2" t="s">
        <v>1080</v>
      </c>
      <c r="AC138" s="2" t="s">
        <v>1014</v>
      </c>
      <c r="AE138" s="84">
        <v>42870</v>
      </c>
      <c r="AF138" s="4" t="s">
        <v>620</v>
      </c>
      <c r="AJ138" s="2" t="s">
        <v>1081</v>
      </c>
      <c r="AM138" s="84">
        <v>42535</v>
      </c>
      <c r="AN138" s="4" t="s">
        <v>619</v>
      </c>
      <c r="AO138" s="80">
        <v>3</v>
      </c>
      <c r="AQ138" s="81" t="s">
        <v>1082</v>
      </c>
    </row>
    <row r="139" ht="12.95" customHeight="1" spans="1:43">
      <c r="A139" s="84">
        <v>44332</v>
      </c>
      <c r="B139" s="4" t="s">
        <v>603</v>
      </c>
      <c r="H139" s="84">
        <v>43966</v>
      </c>
      <c r="I139" s="4" t="s">
        <v>617</v>
      </c>
      <c r="M139" s="2" t="s">
        <v>1083</v>
      </c>
      <c r="O139" s="84">
        <v>43601</v>
      </c>
      <c r="P139" s="4" t="s">
        <v>622</v>
      </c>
      <c r="W139" s="84">
        <v>43236</v>
      </c>
      <c r="X139" s="4" t="s">
        <v>618</v>
      </c>
      <c r="AB139" s="2" t="s">
        <v>1084</v>
      </c>
      <c r="AC139" s="2" t="s">
        <v>1066</v>
      </c>
      <c r="AE139" s="84">
        <v>42871</v>
      </c>
      <c r="AF139" s="4" t="s">
        <v>619</v>
      </c>
      <c r="AJ139" s="2" t="s">
        <v>1085</v>
      </c>
      <c r="AM139" s="84">
        <v>42536</v>
      </c>
      <c r="AN139" s="4" t="s">
        <v>618</v>
      </c>
      <c r="AQ139" s="81" t="s">
        <v>1086</v>
      </c>
    </row>
    <row r="140" ht="12.95" customHeight="1" spans="1:43">
      <c r="A140" s="84">
        <v>44333</v>
      </c>
      <c r="B140" s="4" t="s">
        <v>620</v>
      </c>
      <c r="H140" s="84">
        <v>43967</v>
      </c>
      <c r="I140" s="4" t="s">
        <v>602</v>
      </c>
      <c r="O140" s="84">
        <v>43602</v>
      </c>
      <c r="P140" s="4" t="s">
        <v>617</v>
      </c>
      <c r="W140" s="84">
        <v>43237</v>
      </c>
      <c r="X140" s="4" t="s">
        <v>622</v>
      </c>
      <c r="AB140" s="2" t="s">
        <v>1087</v>
      </c>
      <c r="AC140" s="2" t="s">
        <v>1070</v>
      </c>
      <c r="AE140" s="84">
        <v>42872</v>
      </c>
      <c r="AF140" s="4" t="s">
        <v>618</v>
      </c>
      <c r="AJ140" s="2" t="s">
        <v>1088</v>
      </c>
      <c r="AM140" s="84">
        <v>42537</v>
      </c>
      <c r="AN140" s="4" t="s">
        <v>622</v>
      </c>
      <c r="AQ140" s="81" t="s">
        <v>1089</v>
      </c>
    </row>
    <row r="141" ht="12.95" customHeight="1" spans="1:43">
      <c r="A141" s="84">
        <v>44334</v>
      </c>
      <c r="B141" s="4" t="s">
        <v>619</v>
      </c>
      <c r="H141" s="84">
        <v>43968</v>
      </c>
      <c r="I141" s="4" t="s">
        <v>603</v>
      </c>
      <c r="O141" s="84">
        <v>43603</v>
      </c>
      <c r="P141" s="4" t="s">
        <v>602</v>
      </c>
      <c r="W141" s="84">
        <v>43238</v>
      </c>
      <c r="X141" s="4" t="s">
        <v>617</v>
      </c>
      <c r="AB141" s="2" t="s">
        <v>1090</v>
      </c>
      <c r="AE141" s="84">
        <v>42873</v>
      </c>
      <c r="AF141" s="4" t="s">
        <v>622</v>
      </c>
      <c r="AJ141" s="2" t="s">
        <v>1091</v>
      </c>
      <c r="AM141" s="84">
        <v>42538</v>
      </c>
      <c r="AN141" s="4" t="s">
        <v>617</v>
      </c>
      <c r="AQ141" s="81" t="s">
        <v>1092</v>
      </c>
    </row>
    <row r="142" ht="12.95" customHeight="1" spans="1:40">
      <c r="A142" s="84">
        <v>44335</v>
      </c>
      <c r="B142" s="4" t="s">
        <v>618</v>
      </c>
      <c r="H142" s="84">
        <v>43969</v>
      </c>
      <c r="I142" s="4" t="s">
        <v>620</v>
      </c>
      <c r="M142" s="2" t="s">
        <v>1093</v>
      </c>
      <c r="O142" s="84">
        <v>43604</v>
      </c>
      <c r="P142" s="4" t="s">
        <v>603</v>
      </c>
      <c r="W142" s="84">
        <v>43239</v>
      </c>
      <c r="X142" s="4" t="s">
        <v>602</v>
      </c>
      <c r="AE142" s="84">
        <v>42874</v>
      </c>
      <c r="AF142" s="4" t="s">
        <v>617</v>
      </c>
      <c r="AJ142" s="2" t="s">
        <v>1094</v>
      </c>
      <c r="AM142" s="84">
        <v>42539</v>
      </c>
      <c r="AN142" s="4" t="s">
        <v>602</v>
      </c>
    </row>
    <row r="143" ht="12.95" customHeight="1" spans="1:40">
      <c r="A143" s="84">
        <v>44336</v>
      </c>
      <c r="B143" s="4" t="s">
        <v>622</v>
      </c>
      <c r="H143" s="84">
        <v>43970</v>
      </c>
      <c r="I143" s="4" t="s">
        <v>619</v>
      </c>
      <c r="M143" s="2" t="s">
        <v>1093</v>
      </c>
      <c r="O143" s="84">
        <v>43605</v>
      </c>
      <c r="P143" s="4" t="s">
        <v>620</v>
      </c>
      <c r="W143" s="84">
        <v>43240</v>
      </c>
      <c r="X143" s="4" t="s">
        <v>603</v>
      </c>
      <c r="AB143" s="2" t="s">
        <v>1095</v>
      </c>
      <c r="AC143" s="2" t="s">
        <v>1096</v>
      </c>
      <c r="AE143" s="84">
        <v>42875</v>
      </c>
      <c r="AF143" s="4" t="s">
        <v>602</v>
      </c>
      <c r="AM143" s="84">
        <v>42540</v>
      </c>
      <c r="AN143" s="4" t="s">
        <v>603</v>
      </c>
    </row>
    <row r="144" ht="12.95" customHeight="1" spans="1:43">
      <c r="A144" s="84">
        <v>44337</v>
      </c>
      <c r="B144" s="4" t="s">
        <v>617</v>
      </c>
      <c r="H144" s="84">
        <v>43971</v>
      </c>
      <c r="I144" s="4" t="s">
        <v>618</v>
      </c>
      <c r="M144" s="2" t="s">
        <v>1097</v>
      </c>
      <c r="O144" s="84">
        <v>43606</v>
      </c>
      <c r="P144" s="4" t="s">
        <v>619</v>
      </c>
      <c r="T144" s="2" t="s">
        <v>1098</v>
      </c>
      <c r="W144" s="84">
        <v>43241</v>
      </c>
      <c r="X144" s="4" t="s">
        <v>620</v>
      </c>
      <c r="AB144" s="2" t="s">
        <v>1099</v>
      </c>
      <c r="AC144" s="2" t="s">
        <v>1100</v>
      </c>
      <c r="AE144" s="84">
        <v>42876</v>
      </c>
      <c r="AF144" s="4" t="s">
        <v>603</v>
      </c>
      <c r="AM144" s="84">
        <v>42541</v>
      </c>
      <c r="AN144" s="4" t="s">
        <v>620</v>
      </c>
      <c r="AQ144" s="81" t="s">
        <v>1101</v>
      </c>
    </row>
    <row r="145" ht="12.95" customHeight="1" spans="1:43">
      <c r="A145" s="84">
        <v>44338</v>
      </c>
      <c r="B145" s="4" t="s">
        <v>602</v>
      </c>
      <c r="H145" s="84">
        <v>43972</v>
      </c>
      <c r="I145" s="4" t="s">
        <v>622</v>
      </c>
      <c r="M145" s="2" t="s">
        <v>1102</v>
      </c>
      <c r="O145" s="84">
        <v>43607</v>
      </c>
      <c r="P145" s="4" t="s">
        <v>618</v>
      </c>
      <c r="T145" s="2" t="s">
        <v>1103</v>
      </c>
      <c r="W145" s="84">
        <v>43242</v>
      </c>
      <c r="X145" s="4" t="s">
        <v>619</v>
      </c>
      <c r="AB145" s="2" t="s">
        <v>1104</v>
      </c>
      <c r="AC145" s="2" t="s">
        <v>1105</v>
      </c>
      <c r="AE145" s="84">
        <v>42877</v>
      </c>
      <c r="AF145" s="4" t="s">
        <v>620</v>
      </c>
      <c r="AJ145" s="2" t="s">
        <v>1106</v>
      </c>
      <c r="AM145" s="84">
        <v>42542</v>
      </c>
      <c r="AN145" s="4" t="s">
        <v>619</v>
      </c>
      <c r="AQ145" s="81" t="s">
        <v>1107</v>
      </c>
    </row>
    <row r="146" ht="12.95" customHeight="1" spans="1:43">
      <c r="A146" s="84">
        <v>44339</v>
      </c>
      <c r="B146" s="4" t="s">
        <v>603</v>
      </c>
      <c r="H146" s="84">
        <v>43973</v>
      </c>
      <c r="I146" s="4" t="s">
        <v>617</v>
      </c>
      <c r="M146" s="2" t="s">
        <v>1108</v>
      </c>
      <c r="O146" s="84">
        <v>43608</v>
      </c>
      <c r="P146" s="4" t="s">
        <v>622</v>
      </c>
      <c r="T146" s="2" t="s">
        <v>1109</v>
      </c>
      <c r="W146" s="84">
        <v>43243</v>
      </c>
      <c r="X146" s="4" t="s">
        <v>618</v>
      </c>
      <c r="AB146" s="2" t="s">
        <v>1110</v>
      </c>
      <c r="AC146" s="2" t="s">
        <v>1111</v>
      </c>
      <c r="AE146" s="84">
        <v>42878</v>
      </c>
      <c r="AF146" s="4" t="s">
        <v>619</v>
      </c>
      <c r="AJ146" s="2" t="s">
        <v>1112</v>
      </c>
      <c r="AM146" s="84">
        <v>42543</v>
      </c>
      <c r="AN146" s="4" t="s">
        <v>618</v>
      </c>
      <c r="AQ146" s="81" t="s">
        <v>1113</v>
      </c>
    </row>
    <row r="147" ht="12.95" customHeight="1" spans="1:43">
      <c r="A147" s="84">
        <v>44340</v>
      </c>
      <c r="B147" s="4" t="s">
        <v>620</v>
      </c>
      <c r="H147" s="84">
        <v>43974</v>
      </c>
      <c r="I147" s="4" t="s">
        <v>602</v>
      </c>
      <c r="O147" s="84">
        <v>43609</v>
      </c>
      <c r="P147" s="4" t="s">
        <v>617</v>
      </c>
      <c r="T147" s="2" t="s">
        <v>1114</v>
      </c>
      <c r="W147" s="84">
        <v>43244</v>
      </c>
      <c r="X147" s="4" t="s">
        <v>622</v>
      </c>
      <c r="AB147" s="2" t="s">
        <v>1115</v>
      </c>
      <c r="AE147" s="84">
        <v>42879</v>
      </c>
      <c r="AF147" s="4" t="s">
        <v>618</v>
      </c>
      <c r="AJ147" s="2" t="s">
        <v>1116</v>
      </c>
      <c r="AM147" s="84">
        <v>42544</v>
      </c>
      <c r="AN147" s="4" t="s">
        <v>622</v>
      </c>
      <c r="AQ147" s="81" t="s">
        <v>1117</v>
      </c>
    </row>
    <row r="148" ht="12.95" customHeight="1" spans="1:43">
      <c r="A148" s="84">
        <v>44341</v>
      </c>
      <c r="B148" s="4" t="s">
        <v>619</v>
      </c>
      <c r="H148" s="84">
        <v>43975</v>
      </c>
      <c r="I148" s="4" t="s">
        <v>603</v>
      </c>
      <c r="O148" s="84">
        <v>43610</v>
      </c>
      <c r="P148" s="4" t="s">
        <v>602</v>
      </c>
      <c r="W148" s="84">
        <v>43245</v>
      </c>
      <c r="X148" s="4" t="s">
        <v>617</v>
      </c>
      <c r="AB148" s="2" t="s">
        <v>1118</v>
      </c>
      <c r="AE148" s="84">
        <v>42880</v>
      </c>
      <c r="AF148" s="4" t="s">
        <v>622</v>
      </c>
      <c r="AJ148" s="2" t="s">
        <v>1119</v>
      </c>
      <c r="AM148" s="84">
        <v>42545</v>
      </c>
      <c r="AN148" s="4" t="s">
        <v>617</v>
      </c>
      <c r="AO148" s="80">
        <v>4</v>
      </c>
      <c r="AQ148" s="81" t="s">
        <v>1120</v>
      </c>
    </row>
    <row r="149" ht="12.95" customHeight="1" spans="1:43">
      <c r="A149" s="84">
        <v>44342</v>
      </c>
      <c r="B149" s="4" t="s">
        <v>618</v>
      </c>
      <c r="H149" s="84">
        <v>43976</v>
      </c>
      <c r="I149" s="4" t="s">
        <v>620</v>
      </c>
      <c r="M149" s="2" t="s">
        <v>1121</v>
      </c>
      <c r="O149" s="84">
        <v>43611</v>
      </c>
      <c r="P149" s="4" t="s">
        <v>603</v>
      </c>
      <c r="W149" s="84">
        <v>43246</v>
      </c>
      <c r="X149" s="4" t="s">
        <v>602</v>
      </c>
      <c r="AE149" s="84">
        <v>42881</v>
      </c>
      <c r="AF149" s="4" t="s">
        <v>617</v>
      </c>
      <c r="AJ149" s="2" t="s">
        <v>1122</v>
      </c>
      <c r="AM149" s="84">
        <v>42546</v>
      </c>
      <c r="AN149" s="4" t="s">
        <v>602</v>
      </c>
      <c r="AO149" s="80">
        <v>8</v>
      </c>
      <c r="AQ149" s="81" t="s">
        <v>1123</v>
      </c>
    </row>
    <row r="150" ht="12.95" customHeight="1" spans="1:40">
      <c r="A150" s="84">
        <v>44343</v>
      </c>
      <c r="B150" s="4" t="s">
        <v>622</v>
      </c>
      <c r="H150" s="84">
        <v>43977</v>
      </c>
      <c r="I150" s="4" t="s">
        <v>619</v>
      </c>
      <c r="M150" s="2" t="s">
        <v>1108</v>
      </c>
      <c r="O150" s="84">
        <v>43612</v>
      </c>
      <c r="P150" s="4" t="s">
        <v>620</v>
      </c>
      <c r="T150" s="2" t="s">
        <v>804</v>
      </c>
      <c r="W150" s="84">
        <v>43247</v>
      </c>
      <c r="X150" s="4" t="s">
        <v>603</v>
      </c>
      <c r="AE150" s="84">
        <v>42882</v>
      </c>
      <c r="AF150" s="4" t="s">
        <v>602</v>
      </c>
      <c r="AJ150" s="2" t="s">
        <v>1124</v>
      </c>
      <c r="AM150" s="84">
        <v>42547</v>
      </c>
      <c r="AN150" s="4" t="s">
        <v>603</v>
      </c>
    </row>
    <row r="151" ht="12.95" customHeight="1" spans="1:43">
      <c r="A151" s="84">
        <v>44344</v>
      </c>
      <c r="B151" s="4" t="s">
        <v>617</v>
      </c>
      <c r="H151" s="84">
        <v>43978</v>
      </c>
      <c r="I151" s="4" t="s">
        <v>618</v>
      </c>
      <c r="M151" s="2" t="s">
        <v>1108</v>
      </c>
      <c r="O151" s="84">
        <v>43613</v>
      </c>
      <c r="P151" s="4" t="s">
        <v>619</v>
      </c>
      <c r="T151" s="2" t="s">
        <v>804</v>
      </c>
      <c r="W151" s="84">
        <v>43248</v>
      </c>
      <c r="X151" s="4" t="s">
        <v>620</v>
      </c>
      <c r="AB151" s="2" t="s">
        <v>1118</v>
      </c>
      <c r="AE151" s="84">
        <v>42883</v>
      </c>
      <c r="AF151" s="4" t="s">
        <v>603</v>
      </c>
      <c r="AL151" s="2">
        <f>7.5*6</f>
        <v>45</v>
      </c>
      <c r="AM151" s="84">
        <v>42548</v>
      </c>
      <c r="AN151" s="4" t="s">
        <v>620</v>
      </c>
      <c r="AQ151" s="81" t="s">
        <v>1125</v>
      </c>
    </row>
    <row r="152" ht="12.95" customHeight="1" spans="1:43">
      <c r="A152" s="84">
        <v>44345</v>
      </c>
      <c r="B152" s="4" t="s">
        <v>602</v>
      </c>
      <c r="H152" s="84">
        <v>43979</v>
      </c>
      <c r="I152" s="4" t="s">
        <v>622</v>
      </c>
      <c r="M152" s="2" t="s">
        <v>1126</v>
      </c>
      <c r="O152" s="84">
        <v>43614</v>
      </c>
      <c r="P152" s="4" t="s">
        <v>618</v>
      </c>
      <c r="T152" s="2" t="s">
        <v>1127</v>
      </c>
      <c r="W152" s="84">
        <v>43249</v>
      </c>
      <c r="X152" s="4" t="s">
        <v>619</v>
      </c>
      <c r="AB152" s="2" t="s">
        <v>1128</v>
      </c>
      <c r="AC152" s="2" t="s">
        <v>1096</v>
      </c>
      <c r="AE152" s="84">
        <v>42884</v>
      </c>
      <c r="AF152" s="4" t="s">
        <v>620</v>
      </c>
      <c r="AM152" s="84">
        <v>42549</v>
      </c>
      <c r="AN152" s="4" t="s">
        <v>619</v>
      </c>
      <c r="AQ152" s="81" t="s">
        <v>1129</v>
      </c>
    </row>
    <row r="153" ht="12.95" customHeight="1" spans="1:43">
      <c r="A153" s="84">
        <v>44346</v>
      </c>
      <c r="B153" s="4" t="s">
        <v>603</v>
      </c>
      <c r="H153" s="84">
        <v>43980</v>
      </c>
      <c r="I153" s="4" t="s">
        <v>617</v>
      </c>
      <c r="M153" s="2" t="s">
        <v>1108</v>
      </c>
      <c r="O153" s="84">
        <v>43615</v>
      </c>
      <c r="P153" s="4" t="s">
        <v>622</v>
      </c>
      <c r="T153" s="2" t="s">
        <v>1130</v>
      </c>
      <c r="W153" s="84">
        <v>43250</v>
      </c>
      <c r="X153" s="4" t="s">
        <v>618</v>
      </c>
      <c r="AB153" s="2" t="s">
        <v>1131</v>
      </c>
      <c r="AC153" s="2" t="s">
        <v>1100</v>
      </c>
      <c r="AE153" s="84">
        <v>42885</v>
      </c>
      <c r="AF153" s="4" t="s">
        <v>619</v>
      </c>
      <c r="AM153" s="84">
        <v>42550</v>
      </c>
      <c r="AN153" s="4" t="s">
        <v>618</v>
      </c>
      <c r="AQ153" s="81" t="s">
        <v>1132</v>
      </c>
    </row>
    <row r="154" ht="12.95" customHeight="1" spans="1:43">
      <c r="A154" s="84">
        <v>44347</v>
      </c>
      <c r="B154" s="4" t="s">
        <v>620</v>
      </c>
      <c r="H154" s="84">
        <v>43981</v>
      </c>
      <c r="I154" s="4" t="s">
        <v>602</v>
      </c>
      <c r="O154" s="84">
        <v>43616</v>
      </c>
      <c r="P154" s="4" t="s">
        <v>617</v>
      </c>
      <c r="T154" s="2" t="s">
        <v>1133</v>
      </c>
      <c r="W154" s="84">
        <v>43251</v>
      </c>
      <c r="X154" s="4" t="s">
        <v>622</v>
      </c>
      <c r="AB154" s="2" t="s">
        <v>1134</v>
      </c>
      <c r="AC154" s="2" t="s">
        <v>1135</v>
      </c>
      <c r="AE154" s="84">
        <v>42886</v>
      </c>
      <c r="AF154" s="4" t="s">
        <v>618</v>
      </c>
      <c r="AJ154" s="2" t="s">
        <v>1136</v>
      </c>
      <c r="AM154" s="84">
        <v>42551</v>
      </c>
      <c r="AN154" s="4" t="s">
        <v>622</v>
      </c>
      <c r="AQ154" s="81" t="s">
        <v>1137</v>
      </c>
    </row>
    <row r="155" ht="12.95" customHeight="1" spans="1:43">
      <c r="A155" s="84">
        <v>44348</v>
      </c>
      <c r="B155" s="4" t="s">
        <v>619</v>
      </c>
      <c r="H155" s="84">
        <v>43982</v>
      </c>
      <c r="I155" s="4" t="s">
        <v>603</v>
      </c>
      <c r="O155" s="84">
        <v>43617</v>
      </c>
      <c r="P155" s="4" t="s">
        <v>602</v>
      </c>
      <c r="W155" s="84">
        <v>43252</v>
      </c>
      <c r="X155" s="4" t="s">
        <v>617</v>
      </c>
      <c r="AB155" s="2" t="s">
        <v>1138</v>
      </c>
      <c r="AC155" s="2" t="s">
        <v>1111</v>
      </c>
      <c r="AE155" s="84">
        <v>42887</v>
      </c>
      <c r="AF155" s="4" t="s">
        <v>622</v>
      </c>
      <c r="AJ155" s="2" t="s">
        <v>1139</v>
      </c>
      <c r="AM155" s="84">
        <v>42552</v>
      </c>
      <c r="AN155" s="4" t="s">
        <v>617</v>
      </c>
      <c r="AQ155" s="81" t="s">
        <v>1140</v>
      </c>
    </row>
    <row r="156" ht="12.95" customHeight="1" spans="1:40">
      <c r="A156" s="84">
        <v>44349</v>
      </c>
      <c r="B156" s="4" t="s">
        <v>618</v>
      </c>
      <c r="H156" s="84">
        <v>43983</v>
      </c>
      <c r="I156" s="4" t="s">
        <v>620</v>
      </c>
      <c r="M156" s="2" t="s">
        <v>1141</v>
      </c>
      <c r="O156" s="84">
        <v>43618</v>
      </c>
      <c r="P156" s="4" t="s">
        <v>603</v>
      </c>
      <c r="W156" s="84">
        <v>43253</v>
      </c>
      <c r="X156" s="4" t="s">
        <v>602</v>
      </c>
      <c r="AE156" s="84">
        <v>42888</v>
      </c>
      <c r="AF156" s="4" t="s">
        <v>617</v>
      </c>
      <c r="AJ156" s="2" t="s">
        <v>1142</v>
      </c>
      <c r="AM156" s="84">
        <v>42553</v>
      </c>
      <c r="AN156" s="4" t="s">
        <v>602</v>
      </c>
    </row>
    <row r="157" ht="12.95" customHeight="1" spans="1:40">
      <c r="A157" s="84">
        <v>44350</v>
      </c>
      <c r="B157" s="4" t="s">
        <v>622</v>
      </c>
      <c r="H157" s="84">
        <v>43984</v>
      </c>
      <c r="I157" s="4" t="s">
        <v>619</v>
      </c>
      <c r="M157" s="2" t="s">
        <v>1141</v>
      </c>
      <c r="O157" s="84">
        <v>43619</v>
      </c>
      <c r="P157" s="4" t="s">
        <v>620</v>
      </c>
      <c r="T157" s="2" t="s">
        <v>1143</v>
      </c>
      <c r="W157" s="84">
        <v>43254</v>
      </c>
      <c r="X157" s="4" t="s">
        <v>603</v>
      </c>
      <c r="AE157" s="84">
        <v>42889</v>
      </c>
      <c r="AF157" s="4" t="s">
        <v>602</v>
      </c>
      <c r="AM157" s="84">
        <v>42554</v>
      </c>
      <c r="AN157" s="4" t="s">
        <v>603</v>
      </c>
    </row>
    <row r="158" ht="12.95" customHeight="1" spans="1:43">
      <c r="A158" s="84">
        <v>44351</v>
      </c>
      <c r="B158" s="4" t="s">
        <v>617</v>
      </c>
      <c r="H158" s="84">
        <v>43985</v>
      </c>
      <c r="I158" s="4" t="s">
        <v>618</v>
      </c>
      <c r="M158" s="2" t="s">
        <v>1144</v>
      </c>
      <c r="O158" s="84">
        <v>43620</v>
      </c>
      <c r="P158" s="4" t="s">
        <v>619</v>
      </c>
      <c r="T158" s="2" t="s">
        <v>1145</v>
      </c>
      <c r="W158" s="84">
        <v>43255</v>
      </c>
      <c r="X158" s="4" t="s">
        <v>620</v>
      </c>
      <c r="AB158" s="2" t="s">
        <v>1146</v>
      </c>
      <c r="AC158" s="2" t="s">
        <v>1147</v>
      </c>
      <c r="AE158" s="84">
        <v>42890</v>
      </c>
      <c r="AF158" s="4" t="s">
        <v>603</v>
      </c>
      <c r="AM158" s="84">
        <v>42555</v>
      </c>
      <c r="AN158" s="4" t="s">
        <v>620</v>
      </c>
      <c r="AQ158" s="81" t="s">
        <v>1148</v>
      </c>
    </row>
    <row r="159" ht="12.95" customHeight="1" spans="1:43">
      <c r="A159" s="84">
        <v>44352</v>
      </c>
      <c r="B159" s="4" t="s">
        <v>602</v>
      </c>
      <c r="H159" s="84">
        <v>43986</v>
      </c>
      <c r="I159" s="4" t="s">
        <v>622</v>
      </c>
      <c r="M159" s="2" t="s">
        <v>1149</v>
      </c>
      <c r="O159" s="84">
        <v>43621</v>
      </c>
      <c r="P159" s="4" t="s">
        <v>618</v>
      </c>
      <c r="T159" s="2" t="s">
        <v>1150</v>
      </c>
      <c r="W159" s="84">
        <v>43256</v>
      </c>
      <c r="X159" s="4" t="s">
        <v>619</v>
      </c>
      <c r="AB159" s="2" t="s">
        <v>1151</v>
      </c>
      <c r="AC159" s="2" t="s">
        <v>1100</v>
      </c>
      <c r="AE159" s="84">
        <v>42891</v>
      </c>
      <c r="AF159" s="4" t="s">
        <v>620</v>
      </c>
      <c r="AJ159" s="2" t="s">
        <v>1152</v>
      </c>
      <c r="AM159" s="84">
        <v>42556</v>
      </c>
      <c r="AN159" s="4" t="s">
        <v>619</v>
      </c>
      <c r="AO159" s="80">
        <v>3.5</v>
      </c>
      <c r="AP159" s="92">
        <v>0.395833333333333</v>
      </c>
      <c r="AQ159" s="81" t="s">
        <v>1153</v>
      </c>
    </row>
    <row r="160" ht="12.95" customHeight="1" spans="1:43">
      <c r="A160" s="84">
        <v>44353</v>
      </c>
      <c r="B160" s="4" t="s">
        <v>603</v>
      </c>
      <c r="H160" s="84">
        <v>43987</v>
      </c>
      <c r="I160" s="4" t="s">
        <v>617</v>
      </c>
      <c r="M160" s="2" t="s">
        <v>1154</v>
      </c>
      <c r="O160" s="84">
        <v>43622</v>
      </c>
      <c r="P160" s="4" t="s">
        <v>622</v>
      </c>
      <c r="T160" s="2" t="s">
        <v>1155</v>
      </c>
      <c r="W160" s="84">
        <v>43257</v>
      </c>
      <c r="X160" s="4" t="s">
        <v>618</v>
      </c>
      <c r="AB160" s="2" t="s">
        <v>1156</v>
      </c>
      <c r="AC160" s="2" t="s">
        <v>1135</v>
      </c>
      <c r="AE160" s="84">
        <v>42892</v>
      </c>
      <c r="AF160" s="4" t="s">
        <v>619</v>
      </c>
      <c r="AJ160" s="2" t="s">
        <v>1157</v>
      </c>
      <c r="AM160" s="84">
        <v>42557</v>
      </c>
      <c r="AN160" s="4" t="s">
        <v>618</v>
      </c>
      <c r="AQ160" s="81" t="s">
        <v>1158</v>
      </c>
    </row>
    <row r="161" ht="12.95" customHeight="1" spans="1:43">
      <c r="A161" s="84">
        <v>44354</v>
      </c>
      <c r="B161" s="4" t="s">
        <v>620</v>
      </c>
      <c r="H161" s="84">
        <v>43988</v>
      </c>
      <c r="I161" s="4" t="s">
        <v>602</v>
      </c>
      <c r="O161" s="84">
        <v>43623</v>
      </c>
      <c r="P161" s="4" t="s">
        <v>617</v>
      </c>
      <c r="W161" s="84">
        <v>43258</v>
      </c>
      <c r="X161" s="4" t="s">
        <v>622</v>
      </c>
      <c r="AB161" s="2" t="s">
        <v>1159</v>
      </c>
      <c r="AC161" s="2" t="s">
        <v>1160</v>
      </c>
      <c r="AE161" s="84">
        <v>42893</v>
      </c>
      <c r="AF161" s="4" t="s">
        <v>618</v>
      </c>
      <c r="AJ161" s="2" t="s">
        <v>1161</v>
      </c>
      <c r="AM161" s="84">
        <v>42558</v>
      </c>
      <c r="AN161" s="4" t="s">
        <v>622</v>
      </c>
      <c r="AQ161" s="81" t="s">
        <v>1162</v>
      </c>
    </row>
    <row r="162" ht="12.95" customHeight="1" spans="1:43">
      <c r="A162" s="84">
        <v>44355</v>
      </c>
      <c r="B162" s="4" t="s">
        <v>619</v>
      </c>
      <c r="H162" s="84">
        <v>43989</v>
      </c>
      <c r="I162" s="4" t="s">
        <v>603</v>
      </c>
      <c r="O162" s="84">
        <v>43624</v>
      </c>
      <c r="P162" s="4" t="s">
        <v>602</v>
      </c>
      <c r="W162" s="84">
        <v>43259</v>
      </c>
      <c r="X162" s="4" t="s">
        <v>617</v>
      </c>
      <c r="AB162" s="2" t="s">
        <v>1163</v>
      </c>
      <c r="AC162" s="2" t="s">
        <v>1164</v>
      </c>
      <c r="AE162" s="84">
        <v>42894</v>
      </c>
      <c r="AF162" s="4" t="s">
        <v>622</v>
      </c>
      <c r="AJ162" s="2" t="s">
        <v>1165</v>
      </c>
      <c r="AM162" s="84">
        <v>42559</v>
      </c>
      <c r="AN162" s="4" t="s">
        <v>617</v>
      </c>
      <c r="AQ162" s="81" t="s">
        <v>1166</v>
      </c>
    </row>
    <row r="163" ht="12.95" customHeight="1" spans="1:40">
      <c r="A163" s="84">
        <v>44356</v>
      </c>
      <c r="B163" s="4" t="s">
        <v>618</v>
      </c>
      <c r="H163" s="84">
        <v>43990</v>
      </c>
      <c r="I163" s="4" t="s">
        <v>620</v>
      </c>
      <c r="M163" s="2" t="s">
        <v>1154</v>
      </c>
      <c r="O163" s="84">
        <v>43625</v>
      </c>
      <c r="P163" s="4" t="s">
        <v>603</v>
      </c>
      <c r="W163" s="84">
        <v>43260</v>
      </c>
      <c r="X163" s="4" t="s">
        <v>602</v>
      </c>
      <c r="AE163" s="84">
        <v>42895</v>
      </c>
      <c r="AF163" s="4" t="s">
        <v>617</v>
      </c>
      <c r="AJ163" s="2" t="s">
        <v>1167</v>
      </c>
      <c r="AM163" s="84">
        <v>42560</v>
      </c>
      <c r="AN163" s="4" t="s">
        <v>602</v>
      </c>
    </row>
    <row r="164" ht="12.95" customHeight="1" spans="1:40">
      <c r="A164" s="84">
        <v>44357</v>
      </c>
      <c r="B164" s="4" t="s">
        <v>622</v>
      </c>
      <c r="H164" s="84">
        <v>43991</v>
      </c>
      <c r="I164" s="4" t="s">
        <v>619</v>
      </c>
      <c r="M164" s="2" t="s">
        <v>1168</v>
      </c>
      <c r="O164" s="84">
        <v>43626</v>
      </c>
      <c r="P164" s="4" t="s">
        <v>620</v>
      </c>
      <c r="T164" s="2" t="s">
        <v>1169</v>
      </c>
      <c r="W164" s="84">
        <v>43261</v>
      </c>
      <c r="X164" s="4" t="s">
        <v>603</v>
      </c>
      <c r="AE164" s="84">
        <v>42896</v>
      </c>
      <c r="AF164" s="4" t="s">
        <v>602</v>
      </c>
      <c r="AM164" s="84">
        <v>42561</v>
      </c>
      <c r="AN164" s="4" t="s">
        <v>603</v>
      </c>
    </row>
    <row r="165" ht="12.95" customHeight="1" spans="1:43">
      <c r="A165" s="84">
        <v>44358</v>
      </c>
      <c r="B165" s="4" t="s">
        <v>617</v>
      </c>
      <c r="H165" s="84">
        <v>43992</v>
      </c>
      <c r="I165" s="4" t="s">
        <v>618</v>
      </c>
      <c r="M165" s="2" t="s">
        <v>1170</v>
      </c>
      <c r="O165" s="84">
        <v>43627</v>
      </c>
      <c r="P165" s="4" t="s">
        <v>619</v>
      </c>
      <c r="T165" s="2" t="s">
        <v>1171</v>
      </c>
      <c r="W165" s="84">
        <v>43262</v>
      </c>
      <c r="X165" s="4" t="s">
        <v>620</v>
      </c>
      <c r="AB165" s="2" t="s">
        <v>1172</v>
      </c>
      <c r="AC165" s="2" t="s">
        <v>1147</v>
      </c>
      <c r="AE165" s="84">
        <v>42897</v>
      </c>
      <c r="AF165" s="4" t="s">
        <v>603</v>
      </c>
      <c r="AM165" s="84">
        <v>42562</v>
      </c>
      <c r="AN165" s="4" t="s">
        <v>620</v>
      </c>
      <c r="AO165" s="80">
        <v>3.5</v>
      </c>
      <c r="AP165" s="92">
        <v>0.395833333333333</v>
      </c>
      <c r="AQ165" s="81" t="s">
        <v>1173</v>
      </c>
    </row>
    <row r="166" ht="12.95" customHeight="1" spans="1:43">
      <c r="A166" s="84">
        <v>44359</v>
      </c>
      <c r="B166" s="4" t="s">
        <v>602</v>
      </c>
      <c r="H166" s="84">
        <v>43993</v>
      </c>
      <c r="I166" s="4" t="s">
        <v>622</v>
      </c>
      <c r="M166" s="2" t="s">
        <v>1170</v>
      </c>
      <c r="O166" s="84">
        <v>43628</v>
      </c>
      <c r="P166" s="4" t="s">
        <v>618</v>
      </c>
      <c r="T166" s="2" t="s">
        <v>1174</v>
      </c>
      <c r="W166" s="84">
        <v>43263</v>
      </c>
      <c r="X166" s="4" t="s">
        <v>619</v>
      </c>
      <c r="AB166" s="2" t="s">
        <v>1175</v>
      </c>
      <c r="AC166" s="2" t="s">
        <v>1100</v>
      </c>
      <c r="AE166" s="84">
        <v>42898</v>
      </c>
      <c r="AF166" s="4" t="s">
        <v>620</v>
      </c>
      <c r="AJ166" s="2" t="s">
        <v>1176</v>
      </c>
      <c r="AM166" s="84">
        <v>42563</v>
      </c>
      <c r="AN166" s="4" t="s">
        <v>619</v>
      </c>
      <c r="AQ166" s="81" t="s">
        <v>1177</v>
      </c>
    </row>
    <row r="167" ht="12.95" customHeight="1" spans="1:43">
      <c r="A167" s="84">
        <v>44360</v>
      </c>
      <c r="B167" s="4" t="s">
        <v>603</v>
      </c>
      <c r="H167" s="84">
        <v>43994</v>
      </c>
      <c r="I167" s="4" t="s">
        <v>617</v>
      </c>
      <c r="M167" s="2" t="s">
        <v>1170</v>
      </c>
      <c r="O167" s="84">
        <v>43629</v>
      </c>
      <c r="P167" s="4" t="s">
        <v>622</v>
      </c>
      <c r="T167" s="85" t="s">
        <v>1178</v>
      </c>
      <c r="W167" s="84">
        <v>43264</v>
      </c>
      <c r="X167" s="4" t="s">
        <v>618</v>
      </c>
      <c r="AB167" s="85" t="s">
        <v>1179</v>
      </c>
      <c r="AC167" s="2" t="s">
        <v>1135</v>
      </c>
      <c r="AE167" s="84">
        <v>42899</v>
      </c>
      <c r="AF167" s="4" t="s">
        <v>619</v>
      </c>
      <c r="AJ167" s="2" t="s">
        <v>1180</v>
      </c>
      <c r="AM167" s="84">
        <v>42564</v>
      </c>
      <c r="AN167" s="4" t="s">
        <v>618</v>
      </c>
      <c r="AQ167" s="81" t="s">
        <v>1181</v>
      </c>
    </row>
    <row r="168" ht="12.95" customHeight="1" spans="1:43">
      <c r="A168" s="84">
        <v>44361</v>
      </c>
      <c r="B168" s="4" t="s">
        <v>620</v>
      </c>
      <c r="H168" s="84">
        <v>43995</v>
      </c>
      <c r="I168" s="4" t="s">
        <v>602</v>
      </c>
      <c r="M168" s="85"/>
      <c r="O168" s="84">
        <v>43630</v>
      </c>
      <c r="P168" s="4" t="s">
        <v>617</v>
      </c>
      <c r="T168" s="85" t="s">
        <v>1182</v>
      </c>
      <c r="W168" s="84">
        <v>43265</v>
      </c>
      <c r="X168" s="4" t="s">
        <v>622</v>
      </c>
      <c r="AB168" s="2" t="s">
        <v>1183</v>
      </c>
      <c r="AC168" s="2" t="s">
        <v>1184</v>
      </c>
      <c r="AE168" s="84">
        <v>42900</v>
      </c>
      <c r="AF168" s="4" t="s">
        <v>618</v>
      </c>
      <c r="AJ168" s="2" t="s">
        <v>1185</v>
      </c>
      <c r="AM168" s="84">
        <v>42565</v>
      </c>
      <c r="AN168" s="4" t="s">
        <v>622</v>
      </c>
      <c r="AQ168" s="81" t="s">
        <v>1186</v>
      </c>
    </row>
    <row r="169" ht="12.95" customHeight="1" spans="1:43">
      <c r="A169" s="84">
        <v>44362</v>
      </c>
      <c r="B169" s="4" t="s">
        <v>619</v>
      </c>
      <c r="H169" s="84">
        <v>43996</v>
      </c>
      <c r="I169" s="4" t="s">
        <v>603</v>
      </c>
      <c r="O169" s="84">
        <v>43631</v>
      </c>
      <c r="P169" s="4" t="s">
        <v>602</v>
      </c>
      <c r="W169" s="84">
        <v>43266</v>
      </c>
      <c r="X169" s="4" t="s">
        <v>617</v>
      </c>
      <c r="AB169" s="2" t="s">
        <v>1187</v>
      </c>
      <c r="AC169" s="2" t="s">
        <v>1188</v>
      </c>
      <c r="AE169" s="84">
        <v>42901</v>
      </c>
      <c r="AF169" s="4" t="s">
        <v>622</v>
      </c>
      <c r="AJ169" s="2" t="s">
        <v>1189</v>
      </c>
      <c r="AM169" s="84">
        <v>42566</v>
      </c>
      <c r="AN169" s="4" t="s">
        <v>617</v>
      </c>
      <c r="AQ169" s="81" t="s">
        <v>1190</v>
      </c>
    </row>
    <row r="170" ht="12.95" customHeight="1" spans="1:43">
      <c r="A170" s="84">
        <v>44363</v>
      </c>
      <c r="B170" s="4" t="s">
        <v>618</v>
      </c>
      <c r="H170" s="84">
        <v>43997</v>
      </c>
      <c r="I170" s="4" t="s">
        <v>620</v>
      </c>
      <c r="M170" s="2" t="s">
        <v>1191</v>
      </c>
      <c r="O170" s="84">
        <v>43632</v>
      </c>
      <c r="P170" s="4" t="s">
        <v>603</v>
      </c>
      <c r="W170" s="84">
        <v>43267</v>
      </c>
      <c r="X170" s="4" t="s">
        <v>602</v>
      </c>
      <c r="AE170" s="84">
        <v>42902</v>
      </c>
      <c r="AF170" s="4" t="s">
        <v>617</v>
      </c>
      <c r="AJ170" s="2" t="s">
        <v>1192</v>
      </c>
      <c r="AM170" s="84">
        <v>42567</v>
      </c>
      <c r="AN170" s="4" t="s">
        <v>602</v>
      </c>
      <c r="AO170" s="80">
        <v>4</v>
      </c>
      <c r="AQ170" s="81" t="s">
        <v>1193</v>
      </c>
    </row>
    <row r="171" ht="12.95" customHeight="1" spans="1:40">
      <c r="A171" s="84">
        <v>44364</v>
      </c>
      <c r="B171" s="4" t="s">
        <v>622</v>
      </c>
      <c r="H171" s="84">
        <v>43998</v>
      </c>
      <c r="I171" s="4" t="s">
        <v>619</v>
      </c>
      <c r="M171" s="2" t="s">
        <v>1194</v>
      </c>
      <c r="O171" s="84">
        <v>43633</v>
      </c>
      <c r="P171" s="4" t="s">
        <v>620</v>
      </c>
      <c r="T171" s="2" t="s">
        <v>1195</v>
      </c>
      <c r="W171" s="84">
        <v>43268</v>
      </c>
      <c r="X171" s="4" t="s">
        <v>603</v>
      </c>
      <c r="AE171" s="84">
        <v>42903</v>
      </c>
      <c r="AF171" s="4" t="s">
        <v>602</v>
      </c>
      <c r="AM171" s="84">
        <v>42568</v>
      </c>
      <c r="AN171" s="4" t="s">
        <v>603</v>
      </c>
    </row>
    <row r="172" ht="12.95" customHeight="1" spans="1:44">
      <c r="A172" s="84">
        <v>44365</v>
      </c>
      <c r="B172" s="4" t="s">
        <v>617</v>
      </c>
      <c r="H172" s="84">
        <v>43999</v>
      </c>
      <c r="I172" s="4" t="s">
        <v>618</v>
      </c>
      <c r="M172" s="2" t="s">
        <v>1196</v>
      </c>
      <c r="O172" s="84">
        <v>43634</v>
      </c>
      <c r="P172" s="4" t="s">
        <v>619</v>
      </c>
      <c r="T172" s="2" t="s">
        <v>1197</v>
      </c>
      <c r="W172" s="84">
        <v>43269</v>
      </c>
      <c r="X172" s="4" t="s">
        <v>620</v>
      </c>
      <c r="AE172" s="84">
        <v>42904</v>
      </c>
      <c r="AF172" s="4" t="s">
        <v>603</v>
      </c>
      <c r="AM172" s="84">
        <v>42569</v>
      </c>
      <c r="AN172" s="4" t="s">
        <v>620</v>
      </c>
      <c r="AQ172" s="81" t="s">
        <v>1198</v>
      </c>
      <c r="AR172" s="93"/>
    </row>
    <row r="173" ht="12.95" customHeight="1" spans="1:43">
      <c r="A173" s="84">
        <v>44366</v>
      </c>
      <c r="B173" s="4" t="s">
        <v>602</v>
      </c>
      <c r="H173" s="84">
        <v>44000</v>
      </c>
      <c r="I173" s="4" t="s">
        <v>622</v>
      </c>
      <c r="M173" s="2" t="s">
        <v>1199</v>
      </c>
      <c r="O173" s="84">
        <v>43635</v>
      </c>
      <c r="P173" s="4" t="s">
        <v>618</v>
      </c>
      <c r="T173" s="2" t="s">
        <v>1200</v>
      </c>
      <c r="W173" s="84">
        <v>43270</v>
      </c>
      <c r="X173" s="4" t="s">
        <v>619</v>
      </c>
      <c r="AB173" s="2" t="s">
        <v>1201</v>
      </c>
      <c r="AE173" s="84">
        <v>42905</v>
      </c>
      <c r="AF173" s="4" t="s">
        <v>620</v>
      </c>
      <c r="AG173" s="2">
        <v>0</v>
      </c>
      <c r="AJ173" s="2" t="s">
        <v>1202</v>
      </c>
      <c r="AM173" s="84">
        <v>42570</v>
      </c>
      <c r="AN173" s="4" t="s">
        <v>619</v>
      </c>
      <c r="AQ173" s="81" t="s">
        <v>1203</v>
      </c>
    </row>
    <row r="174" ht="12.95" customHeight="1" spans="1:44">
      <c r="A174" s="84">
        <v>44367</v>
      </c>
      <c r="B174" s="4" t="s">
        <v>603</v>
      </c>
      <c r="H174" s="84">
        <v>44001</v>
      </c>
      <c r="I174" s="4" t="s">
        <v>617</v>
      </c>
      <c r="M174" s="2" t="s">
        <v>1199</v>
      </c>
      <c r="O174" s="84">
        <v>43636</v>
      </c>
      <c r="P174" s="4" t="s">
        <v>622</v>
      </c>
      <c r="T174" s="2" t="s">
        <v>1204</v>
      </c>
      <c r="W174" s="84">
        <v>43271</v>
      </c>
      <c r="X174" s="4" t="s">
        <v>618</v>
      </c>
      <c r="AB174" s="2" t="s">
        <v>1205</v>
      </c>
      <c r="AE174" s="84">
        <v>42906</v>
      </c>
      <c r="AF174" s="4" t="s">
        <v>619</v>
      </c>
      <c r="AJ174" s="2" t="s">
        <v>1206</v>
      </c>
      <c r="AM174" s="84">
        <v>42571</v>
      </c>
      <c r="AN174" s="4" t="s">
        <v>618</v>
      </c>
      <c r="AO174" s="80">
        <v>3.5</v>
      </c>
      <c r="AP174" s="92">
        <v>0.395833333333333</v>
      </c>
      <c r="AQ174" s="81" t="s">
        <v>1207</v>
      </c>
      <c r="AR174" s="93"/>
    </row>
    <row r="175" ht="12.95" customHeight="1" spans="1:43">
      <c r="A175" s="84">
        <v>44368</v>
      </c>
      <c r="B175" s="4" t="s">
        <v>620</v>
      </c>
      <c r="H175" s="84">
        <v>44002</v>
      </c>
      <c r="I175" s="4" t="s">
        <v>602</v>
      </c>
      <c r="O175" s="84">
        <v>43637</v>
      </c>
      <c r="P175" s="4" t="s">
        <v>617</v>
      </c>
      <c r="T175" s="2" t="s">
        <v>1208</v>
      </c>
      <c r="W175" s="84">
        <v>43272</v>
      </c>
      <c r="X175" s="4" t="s">
        <v>622</v>
      </c>
      <c r="AB175" s="2" t="s">
        <v>1205</v>
      </c>
      <c r="AE175" s="84">
        <v>42907</v>
      </c>
      <c r="AF175" s="4" t="s">
        <v>618</v>
      </c>
      <c r="AJ175" s="2" t="s">
        <v>1209</v>
      </c>
      <c r="AM175" s="84">
        <v>42572</v>
      </c>
      <c r="AN175" s="4" t="s">
        <v>622</v>
      </c>
      <c r="AQ175" s="81" t="s">
        <v>1210</v>
      </c>
    </row>
    <row r="176" ht="12.95" customHeight="1" spans="1:43">
      <c r="A176" s="84">
        <v>44369</v>
      </c>
      <c r="B176" s="4" t="s">
        <v>619</v>
      </c>
      <c r="H176" s="84">
        <v>44003</v>
      </c>
      <c r="I176" s="4" t="s">
        <v>603</v>
      </c>
      <c r="O176" s="84">
        <v>43638</v>
      </c>
      <c r="P176" s="4" t="s">
        <v>602</v>
      </c>
      <c r="W176" s="84">
        <v>43273</v>
      </c>
      <c r="X176" s="4" t="s">
        <v>617</v>
      </c>
      <c r="AB176" s="2" t="s">
        <v>1211</v>
      </c>
      <c r="AE176" s="84">
        <v>42908</v>
      </c>
      <c r="AF176" s="4" t="s">
        <v>622</v>
      </c>
      <c r="AJ176" s="2" t="s">
        <v>1209</v>
      </c>
      <c r="AM176" s="84">
        <v>42573</v>
      </c>
      <c r="AN176" s="4" t="s">
        <v>617</v>
      </c>
      <c r="AQ176" s="81" t="s">
        <v>1212</v>
      </c>
    </row>
    <row r="177" ht="12.95" customHeight="1" spans="1:40">
      <c r="A177" s="84">
        <v>44370</v>
      </c>
      <c r="B177" s="4" t="s">
        <v>618</v>
      </c>
      <c r="H177" s="84">
        <v>44004</v>
      </c>
      <c r="I177" s="4" t="s">
        <v>620</v>
      </c>
      <c r="M177" s="2" t="s">
        <v>1199</v>
      </c>
      <c r="O177" s="84">
        <v>43639</v>
      </c>
      <c r="P177" s="4" t="s">
        <v>603</v>
      </c>
      <c r="W177" s="84">
        <v>43274</v>
      </c>
      <c r="X177" s="4" t="s">
        <v>602</v>
      </c>
      <c r="AE177" s="84">
        <v>42909</v>
      </c>
      <c r="AF177" s="4" t="s">
        <v>617</v>
      </c>
      <c r="AJ177" s="2" t="s">
        <v>1209</v>
      </c>
      <c r="AM177" s="84">
        <v>42574</v>
      </c>
      <c r="AN177" s="4" t="s">
        <v>602</v>
      </c>
    </row>
    <row r="178" ht="12.95" customHeight="1" spans="1:40">
      <c r="A178" s="84">
        <v>44371</v>
      </c>
      <c r="B178" s="4" t="s">
        <v>622</v>
      </c>
      <c r="H178" s="84">
        <v>44005</v>
      </c>
      <c r="I178" s="4" t="s">
        <v>619</v>
      </c>
      <c r="M178" s="2" t="s">
        <v>1199</v>
      </c>
      <c r="O178" s="84">
        <v>43640</v>
      </c>
      <c r="P178" s="4" t="s">
        <v>620</v>
      </c>
      <c r="T178" s="2" t="s">
        <v>1213</v>
      </c>
      <c r="W178" s="84">
        <v>43275</v>
      </c>
      <c r="X178" s="4" t="s">
        <v>603</v>
      </c>
      <c r="AE178" s="84">
        <v>42910</v>
      </c>
      <c r="AF178" s="4" t="s">
        <v>602</v>
      </c>
      <c r="AM178" s="84">
        <v>42575</v>
      </c>
      <c r="AN178" s="4" t="s">
        <v>603</v>
      </c>
    </row>
    <row r="179" ht="12.95" customHeight="1" spans="1:43">
      <c r="A179" s="84">
        <v>44372</v>
      </c>
      <c r="B179" s="4" t="s">
        <v>617</v>
      </c>
      <c r="H179" s="84">
        <v>44006</v>
      </c>
      <c r="I179" s="4" t="s">
        <v>618</v>
      </c>
      <c r="M179" s="2" t="s">
        <v>1199</v>
      </c>
      <c r="O179" s="84">
        <v>43641</v>
      </c>
      <c r="P179" s="4" t="s">
        <v>619</v>
      </c>
      <c r="T179" s="2" t="s">
        <v>804</v>
      </c>
      <c r="W179" s="84">
        <v>43276</v>
      </c>
      <c r="X179" s="4" t="s">
        <v>620</v>
      </c>
      <c r="AB179" s="2" t="s">
        <v>1214</v>
      </c>
      <c r="AE179" s="84">
        <v>42911</v>
      </c>
      <c r="AF179" s="4" t="s">
        <v>603</v>
      </c>
      <c r="AM179" s="84">
        <v>42576</v>
      </c>
      <c r="AN179" s="4" t="s">
        <v>620</v>
      </c>
      <c r="AQ179" s="81" t="s">
        <v>1215</v>
      </c>
    </row>
    <row r="180" ht="12.95" customHeight="1" spans="1:43">
      <c r="A180" s="84">
        <v>44373</v>
      </c>
      <c r="B180" s="4" t="s">
        <v>602</v>
      </c>
      <c r="H180" s="84">
        <v>44007</v>
      </c>
      <c r="I180" s="4" t="s">
        <v>622</v>
      </c>
      <c r="O180" s="84">
        <v>43642</v>
      </c>
      <c r="P180" s="4" t="s">
        <v>618</v>
      </c>
      <c r="T180" s="2" t="s">
        <v>1216</v>
      </c>
      <c r="W180" s="84">
        <v>43277</v>
      </c>
      <c r="X180" s="4" t="s">
        <v>619</v>
      </c>
      <c r="AB180" s="2" t="s">
        <v>1217</v>
      </c>
      <c r="AE180" s="84">
        <v>42912</v>
      </c>
      <c r="AF180" s="4" t="s">
        <v>620</v>
      </c>
      <c r="AJ180" s="2" t="s">
        <v>1209</v>
      </c>
      <c r="AM180" s="84">
        <v>42577</v>
      </c>
      <c r="AN180" s="4" t="s">
        <v>619</v>
      </c>
      <c r="AQ180" s="81" t="s">
        <v>1218</v>
      </c>
    </row>
    <row r="181" ht="12.95" customHeight="1" spans="1:43">
      <c r="A181" s="84">
        <v>44374</v>
      </c>
      <c r="B181" s="4" t="s">
        <v>603</v>
      </c>
      <c r="H181" s="84">
        <v>44008</v>
      </c>
      <c r="I181" s="4" t="s">
        <v>617</v>
      </c>
      <c r="O181" s="84">
        <v>43643</v>
      </c>
      <c r="P181" s="4" t="s">
        <v>622</v>
      </c>
      <c r="T181" s="2" t="s">
        <v>1219</v>
      </c>
      <c r="W181" s="84">
        <v>43278</v>
      </c>
      <c r="X181" s="4" t="s">
        <v>618</v>
      </c>
      <c r="AB181" s="2" t="s">
        <v>1220</v>
      </c>
      <c r="AE181" s="84">
        <v>42913</v>
      </c>
      <c r="AF181" s="4" t="s">
        <v>619</v>
      </c>
      <c r="AJ181" s="2" t="s">
        <v>1221</v>
      </c>
      <c r="AM181" s="84">
        <v>42578</v>
      </c>
      <c r="AN181" s="4" t="s">
        <v>618</v>
      </c>
      <c r="AQ181" s="81" t="s">
        <v>1222</v>
      </c>
    </row>
    <row r="182" ht="12.95" customHeight="1" spans="1:43">
      <c r="A182" s="84">
        <v>44375</v>
      </c>
      <c r="B182" s="4" t="s">
        <v>620</v>
      </c>
      <c r="H182" s="84">
        <v>44009</v>
      </c>
      <c r="I182" s="4" t="s">
        <v>602</v>
      </c>
      <c r="O182" s="84">
        <v>43644</v>
      </c>
      <c r="P182" s="4" t="s">
        <v>617</v>
      </c>
      <c r="T182" s="2" t="s">
        <v>1223</v>
      </c>
      <c r="W182" s="84">
        <v>43279</v>
      </c>
      <c r="X182" s="4" t="s">
        <v>622</v>
      </c>
      <c r="AB182" s="2" t="s">
        <v>1224</v>
      </c>
      <c r="AE182" s="84">
        <v>42914</v>
      </c>
      <c r="AF182" s="4" t="s">
        <v>618</v>
      </c>
      <c r="AJ182" s="2" t="s">
        <v>1225</v>
      </c>
      <c r="AM182" s="84">
        <v>42579</v>
      </c>
      <c r="AN182" s="4" t="s">
        <v>622</v>
      </c>
      <c r="AQ182" s="81" t="s">
        <v>1226</v>
      </c>
    </row>
    <row r="183" ht="12.95" customHeight="1" spans="1:43">
      <c r="A183" s="84">
        <v>44376</v>
      </c>
      <c r="B183" s="4" t="s">
        <v>619</v>
      </c>
      <c r="H183" s="84">
        <v>44010</v>
      </c>
      <c r="I183" s="4" t="s">
        <v>603</v>
      </c>
      <c r="M183" s="2" t="s">
        <v>1227</v>
      </c>
      <c r="O183" s="84">
        <v>43645</v>
      </c>
      <c r="P183" s="4" t="s">
        <v>602</v>
      </c>
      <c r="W183" s="84">
        <v>43280</v>
      </c>
      <c r="X183" s="4" t="s">
        <v>617</v>
      </c>
      <c r="AB183" s="2" t="s">
        <v>1228</v>
      </c>
      <c r="AE183" s="84">
        <v>42915</v>
      </c>
      <c r="AF183" s="4" t="s">
        <v>622</v>
      </c>
      <c r="AJ183" s="2" t="s">
        <v>1229</v>
      </c>
      <c r="AM183" s="84">
        <v>42580</v>
      </c>
      <c r="AN183" s="4" t="s">
        <v>617</v>
      </c>
      <c r="AQ183" s="81" t="s">
        <v>1230</v>
      </c>
    </row>
    <row r="184" ht="12.95" customHeight="1" spans="1:40">
      <c r="A184" s="84">
        <v>44377</v>
      </c>
      <c r="B184" s="4" t="s">
        <v>618</v>
      </c>
      <c r="H184" s="84">
        <v>44011</v>
      </c>
      <c r="I184" s="4" t="s">
        <v>620</v>
      </c>
      <c r="M184" s="2" t="s">
        <v>1231</v>
      </c>
      <c r="O184" s="84">
        <v>43646</v>
      </c>
      <c r="P184" s="4" t="s">
        <v>603</v>
      </c>
      <c r="W184" s="84">
        <v>43281</v>
      </c>
      <c r="X184" s="4" t="s">
        <v>602</v>
      </c>
      <c r="AE184" s="84">
        <v>42916</v>
      </c>
      <c r="AF184" s="4" t="s">
        <v>617</v>
      </c>
      <c r="AJ184" s="2" t="s">
        <v>1229</v>
      </c>
      <c r="AM184" s="84">
        <v>42581</v>
      </c>
      <c r="AN184" s="4" t="s">
        <v>602</v>
      </c>
    </row>
    <row r="185" ht="12.95" customHeight="1" spans="1:40">
      <c r="A185" s="84">
        <v>44378</v>
      </c>
      <c r="B185" s="4" t="s">
        <v>622</v>
      </c>
      <c r="H185" s="84">
        <v>44012</v>
      </c>
      <c r="I185" s="4" t="s">
        <v>619</v>
      </c>
      <c r="M185" s="2" t="s">
        <v>1232</v>
      </c>
      <c r="O185" s="84">
        <v>43647</v>
      </c>
      <c r="P185" s="4" t="s">
        <v>620</v>
      </c>
      <c r="T185" s="2" t="s">
        <v>1233</v>
      </c>
      <c r="W185" s="84">
        <v>43282</v>
      </c>
      <c r="X185" s="4" t="s">
        <v>603</v>
      </c>
      <c r="AE185" s="84">
        <v>42917</v>
      </c>
      <c r="AF185" s="4" t="s">
        <v>602</v>
      </c>
      <c r="AM185" s="84">
        <v>42582</v>
      </c>
      <c r="AN185" s="4" t="s">
        <v>603</v>
      </c>
    </row>
    <row r="186" ht="12.95" customHeight="1" spans="1:43">
      <c r="A186" s="84">
        <v>44379</v>
      </c>
      <c r="B186" s="4" t="s">
        <v>617</v>
      </c>
      <c r="H186" s="84">
        <v>44013</v>
      </c>
      <c r="I186" s="4" t="s">
        <v>618</v>
      </c>
      <c r="M186" s="2" t="s">
        <v>1234</v>
      </c>
      <c r="O186" s="84">
        <v>43648</v>
      </c>
      <c r="P186" s="4" t="s">
        <v>619</v>
      </c>
      <c r="T186" s="2" t="s">
        <v>1235</v>
      </c>
      <c r="W186" s="84">
        <v>43283</v>
      </c>
      <c r="X186" s="4" t="s">
        <v>620</v>
      </c>
      <c r="AB186" s="2" t="s">
        <v>1236</v>
      </c>
      <c r="AE186" s="84">
        <v>42918</v>
      </c>
      <c r="AF186" s="4" t="s">
        <v>603</v>
      </c>
      <c r="AM186" s="84">
        <v>42583</v>
      </c>
      <c r="AN186" s="4" t="s">
        <v>620</v>
      </c>
      <c r="AQ186" s="81" t="s">
        <v>1237</v>
      </c>
    </row>
    <row r="187" ht="12.95" customHeight="1" spans="1:43">
      <c r="A187" s="84">
        <v>44380</v>
      </c>
      <c r="B187" s="4" t="s">
        <v>602</v>
      </c>
      <c r="H187" s="84">
        <v>44014</v>
      </c>
      <c r="I187" s="4" t="s">
        <v>622</v>
      </c>
      <c r="M187" s="2" t="s">
        <v>1238</v>
      </c>
      <c r="O187" s="84">
        <v>43649</v>
      </c>
      <c r="P187" s="4" t="s">
        <v>618</v>
      </c>
      <c r="T187" s="85" t="s">
        <v>1239</v>
      </c>
      <c r="W187" s="84">
        <v>43284</v>
      </c>
      <c r="X187" s="4" t="s">
        <v>619</v>
      </c>
      <c r="AB187" s="85" t="s">
        <v>1240</v>
      </c>
      <c r="AE187" s="84">
        <v>42919</v>
      </c>
      <c r="AF187" s="4" t="s">
        <v>620</v>
      </c>
      <c r="AJ187" s="2" t="s">
        <v>1241</v>
      </c>
      <c r="AM187" s="84">
        <v>42584</v>
      </c>
      <c r="AN187" s="4" t="s">
        <v>619</v>
      </c>
      <c r="AQ187" s="81" t="s">
        <v>1242</v>
      </c>
    </row>
    <row r="188" ht="12.95" customHeight="1" spans="1:43">
      <c r="A188" s="84">
        <v>44381</v>
      </c>
      <c r="B188" s="4" t="s">
        <v>603</v>
      </c>
      <c r="H188" s="84">
        <v>44015</v>
      </c>
      <c r="I188" s="4" t="s">
        <v>617</v>
      </c>
      <c r="M188" s="2" t="s">
        <v>754</v>
      </c>
      <c r="O188" s="84">
        <v>43650</v>
      </c>
      <c r="P188" s="4" t="s">
        <v>622</v>
      </c>
      <c r="T188" s="2" t="s">
        <v>1243</v>
      </c>
      <c r="W188" s="84">
        <v>43285</v>
      </c>
      <c r="X188" s="4" t="s">
        <v>618</v>
      </c>
      <c r="AB188" s="2" t="s">
        <v>1244</v>
      </c>
      <c r="AE188" s="84">
        <v>42920</v>
      </c>
      <c r="AF188" s="4" t="s">
        <v>619</v>
      </c>
      <c r="AJ188" s="2" t="s">
        <v>1245</v>
      </c>
      <c r="AM188" s="84">
        <v>42585</v>
      </c>
      <c r="AN188" s="4" t="s">
        <v>618</v>
      </c>
      <c r="AQ188" s="81" t="s">
        <v>1246</v>
      </c>
    </row>
    <row r="189" ht="12.95" customHeight="1" spans="1:43">
      <c r="A189" s="84">
        <v>44382</v>
      </c>
      <c r="B189" s="4" t="s">
        <v>620</v>
      </c>
      <c r="H189" s="84">
        <v>44016</v>
      </c>
      <c r="I189" s="4" t="s">
        <v>602</v>
      </c>
      <c r="O189" s="84">
        <v>43651</v>
      </c>
      <c r="P189" s="4" t="s">
        <v>617</v>
      </c>
      <c r="T189" s="2" t="s">
        <v>1247</v>
      </c>
      <c r="W189" s="84">
        <v>43286</v>
      </c>
      <c r="X189" s="4" t="s">
        <v>622</v>
      </c>
      <c r="AB189" s="2" t="s">
        <v>1248</v>
      </c>
      <c r="AC189" s="2" t="s">
        <v>1249</v>
      </c>
      <c r="AE189" s="84">
        <v>42921</v>
      </c>
      <c r="AF189" s="4" t="s">
        <v>618</v>
      </c>
      <c r="AJ189" s="2" t="s">
        <v>1250</v>
      </c>
      <c r="AM189" s="84">
        <v>42586</v>
      </c>
      <c r="AN189" s="4" t="s">
        <v>622</v>
      </c>
      <c r="AQ189" s="81" t="s">
        <v>1251</v>
      </c>
    </row>
    <row r="190" ht="12.95" customHeight="1" spans="1:43">
      <c r="A190" s="84">
        <v>44383</v>
      </c>
      <c r="B190" s="4" t="s">
        <v>619</v>
      </c>
      <c r="H190" s="84">
        <v>44017</v>
      </c>
      <c r="I190" s="4" t="s">
        <v>603</v>
      </c>
      <c r="O190" s="84">
        <v>43652</v>
      </c>
      <c r="P190" s="4" t="s">
        <v>602</v>
      </c>
      <c r="W190" s="84">
        <v>43287</v>
      </c>
      <c r="X190" s="4" t="s">
        <v>617</v>
      </c>
      <c r="AB190" s="2" t="s">
        <v>1252</v>
      </c>
      <c r="AE190" s="84">
        <v>42922</v>
      </c>
      <c r="AF190" s="4" t="s">
        <v>622</v>
      </c>
      <c r="AJ190" s="2" t="s">
        <v>1253</v>
      </c>
      <c r="AM190" s="84">
        <v>42587</v>
      </c>
      <c r="AN190" s="4" t="s">
        <v>617</v>
      </c>
      <c r="AQ190" s="81" t="s">
        <v>1254</v>
      </c>
    </row>
    <row r="191" ht="12.95" customHeight="1" spans="1:40">
      <c r="A191" s="84">
        <v>44384</v>
      </c>
      <c r="B191" s="4" t="s">
        <v>618</v>
      </c>
      <c r="H191" s="84">
        <v>44018</v>
      </c>
      <c r="I191" s="4" t="s">
        <v>620</v>
      </c>
      <c r="M191" s="2" t="s">
        <v>1255</v>
      </c>
      <c r="O191" s="84">
        <v>43653</v>
      </c>
      <c r="P191" s="4" t="s">
        <v>603</v>
      </c>
      <c r="W191" s="84">
        <v>43288</v>
      </c>
      <c r="X191" s="4" t="s">
        <v>602</v>
      </c>
      <c r="AE191" s="84">
        <v>42923</v>
      </c>
      <c r="AF191" s="4" t="s">
        <v>617</v>
      </c>
      <c r="AJ191" s="2" t="s">
        <v>1256</v>
      </c>
      <c r="AM191" s="84">
        <v>42588</v>
      </c>
      <c r="AN191" s="4" t="s">
        <v>602</v>
      </c>
    </row>
    <row r="192" ht="12.95" customHeight="1" spans="1:40">
      <c r="A192" s="84">
        <v>44385</v>
      </c>
      <c r="B192" s="4" t="s">
        <v>622</v>
      </c>
      <c r="H192" s="84">
        <v>44019</v>
      </c>
      <c r="I192" s="4" t="s">
        <v>619</v>
      </c>
      <c r="M192" s="2" t="s">
        <v>1257</v>
      </c>
      <c r="O192" s="84">
        <v>43654</v>
      </c>
      <c r="P192" s="4" t="s">
        <v>620</v>
      </c>
      <c r="T192" s="2" t="s">
        <v>1258</v>
      </c>
      <c r="W192" s="84">
        <v>43289</v>
      </c>
      <c r="X192" s="4" t="s">
        <v>603</v>
      </c>
      <c r="AE192" s="84">
        <v>42924</v>
      </c>
      <c r="AF192" s="4" t="s">
        <v>602</v>
      </c>
      <c r="AM192" s="84">
        <v>42589</v>
      </c>
      <c r="AN192" s="4" t="s">
        <v>603</v>
      </c>
    </row>
    <row r="193" ht="12.95" customHeight="1" spans="1:43">
      <c r="A193" s="84">
        <v>44386</v>
      </c>
      <c r="B193" s="4" t="s">
        <v>617</v>
      </c>
      <c r="H193" s="84">
        <v>44020</v>
      </c>
      <c r="I193" s="4" t="s">
        <v>618</v>
      </c>
      <c r="M193" s="2" t="s">
        <v>1259</v>
      </c>
      <c r="O193" s="84">
        <v>43655</v>
      </c>
      <c r="P193" s="4" t="s">
        <v>619</v>
      </c>
      <c r="T193" s="2" t="s">
        <v>1260</v>
      </c>
      <c r="W193" s="84">
        <v>43290</v>
      </c>
      <c r="X193" s="4" t="s">
        <v>620</v>
      </c>
      <c r="AB193" s="2" t="s">
        <v>1261</v>
      </c>
      <c r="AE193" s="84">
        <v>42925</v>
      </c>
      <c r="AF193" s="4" t="s">
        <v>603</v>
      </c>
      <c r="AM193" s="84">
        <v>42590</v>
      </c>
      <c r="AN193" s="4" t="s">
        <v>620</v>
      </c>
      <c r="AQ193" s="81" t="s">
        <v>1262</v>
      </c>
    </row>
    <row r="194" ht="12.95" customHeight="1" spans="1:44">
      <c r="A194" s="84">
        <v>44387</v>
      </c>
      <c r="B194" s="4" t="s">
        <v>602</v>
      </c>
      <c r="H194" s="84">
        <v>44021</v>
      </c>
      <c r="I194" s="4" t="s">
        <v>622</v>
      </c>
      <c r="M194" s="2" t="s">
        <v>1263</v>
      </c>
      <c r="O194" s="84">
        <v>43656</v>
      </c>
      <c r="P194" s="4" t="s">
        <v>618</v>
      </c>
      <c r="T194" s="2" t="s">
        <v>1264</v>
      </c>
      <c r="W194" s="84">
        <v>43291</v>
      </c>
      <c r="X194" s="4" t="s">
        <v>619</v>
      </c>
      <c r="AB194" s="2" t="s">
        <v>1265</v>
      </c>
      <c r="AE194" s="84">
        <v>42926</v>
      </c>
      <c r="AF194" s="4" t="s">
        <v>620</v>
      </c>
      <c r="AJ194" s="2" t="s">
        <v>1266</v>
      </c>
      <c r="AM194" s="84">
        <v>42591</v>
      </c>
      <c r="AN194" s="4" t="s">
        <v>619</v>
      </c>
      <c r="AQ194" s="81" t="s">
        <v>1262</v>
      </c>
      <c r="AR194" s="95"/>
    </row>
    <row r="195" ht="12.95" customHeight="1" spans="1:43">
      <c r="A195" s="84">
        <v>44388</v>
      </c>
      <c r="B195" s="4" t="s">
        <v>603</v>
      </c>
      <c r="H195" s="84">
        <v>44022</v>
      </c>
      <c r="I195" s="4" t="s">
        <v>617</v>
      </c>
      <c r="M195" s="2" t="s">
        <v>1267</v>
      </c>
      <c r="O195" s="84">
        <v>43657</v>
      </c>
      <c r="P195" s="4" t="s">
        <v>622</v>
      </c>
      <c r="T195" s="2" t="s">
        <v>1268</v>
      </c>
      <c r="W195" s="84">
        <v>43292</v>
      </c>
      <c r="X195" s="4" t="s">
        <v>618</v>
      </c>
      <c r="AB195" s="2" t="s">
        <v>1269</v>
      </c>
      <c r="AE195" s="84">
        <v>42927</v>
      </c>
      <c r="AF195" s="4" t="s">
        <v>619</v>
      </c>
      <c r="AJ195" s="2" t="s">
        <v>1270</v>
      </c>
      <c r="AM195" s="84">
        <v>42592</v>
      </c>
      <c r="AN195" s="4" t="s">
        <v>618</v>
      </c>
      <c r="AQ195" s="81" t="s">
        <v>1271</v>
      </c>
    </row>
    <row r="196" ht="12.95" customHeight="1" spans="1:43">
      <c r="A196" s="84">
        <v>44389</v>
      </c>
      <c r="B196" s="4" t="s">
        <v>620</v>
      </c>
      <c r="H196" s="84">
        <v>44023</v>
      </c>
      <c r="I196" s="4" t="s">
        <v>602</v>
      </c>
      <c r="O196" s="84">
        <v>43658</v>
      </c>
      <c r="P196" s="4" t="s">
        <v>617</v>
      </c>
      <c r="T196" s="2" t="s">
        <v>1272</v>
      </c>
      <c r="W196" s="84">
        <v>43293</v>
      </c>
      <c r="X196" s="4" t="s">
        <v>622</v>
      </c>
      <c r="AB196" s="2" t="s">
        <v>1273</v>
      </c>
      <c r="AE196" s="84">
        <v>42928</v>
      </c>
      <c r="AF196" s="4" t="s">
        <v>618</v>
      </c>
      <c r="AJ196" s="2" t="s">
        <v>1274</v>
      </c>
      <c r="AM196" s="84">
        <v>42593</v>
      </c>
      <c r="AN196" s="4" t="s">
        <v>622</v>
      </c>
      <c r="AQ196" s="81" t="s">
        <v>1275</v>
      </c>
    </row>
    <row r="197" ht="12.95" customHeight="1" spans="1:43">
      <c r="A197" s="84">
        <v>44390</v>
      </c>
      <c r="B197" s="4" t="s">
        <v>619</v>
      </c>
      <c r="H197" s="84">
        <v>44024</v>
      </c>
      <c r="I197" s="4" t="s">
        <v>603</v>
      </c>
      <c r="O197" s="84">
        <v>43659</v>
      </c>
      <c r="P197" s="4" t="s">
        <v>602</v>
      </c>
      <c r="T197" s="2" t="s">
        <v>1276</v>
      </c>
      <c r="W197" s="84">
        <v>43294</v>
      </c>
      <c r="X197" s="4" t="s">
        <v>617</v>
      </c>
      <c r="AB197" s="2" t="s">
        <v>1277</v>
      </c>
      <c r="AE197" s="84">
        <v>42929</v>
      </c>
      <c r="AF197" s="4" t="s">
        <v>622</v>
      </c>
      <c r="AJ197" s="2" t="s">
        <v>1278</v>
      </c>
      <c r="AM197" s="84">
        <v>42594</v>
      </c>
      <c r="AN197" s="4" t="s">
        <v>617</v>
      </c>
      <c r="AQ197" s="81" t="s">
        <v>1279</v>
      </c>
    </row>
    <row r="198" ht="12.95" customHeight="1" spans="1:40">
      <c r="A198" s="84">
        <v>44391</v>
      </c>
      <c r="B198" s="4" t="s">
        <v>618</v>
      </c>
      <c r="H198" s="84">
        <v>44025</v>
      </c>
      <c r="I198" s="4" t="s">
        <v>620</v>
      </c>
      <c r="M198" s="2" t="s">
        <v>1280</v>
      </c>
      <c r="O198" s="84">
        <v>43660</v>
      </c>
      <c r="P198" s="4" t="s">
        <v>603</v>
      </c>
      <c r="W198" s="84">
        <v>43295</v>
      </c>
      <c r="X198" s="4" t="s">
        <v>602</v>
      </c>
      <c r="AE198" s="84">
        <v>42930</v>
      </c>
      <c r="AF198" s="4" t="s">
        <v>617</v>
      </c>
      <c r="AJ198" s="2" t="s">
        <v>1281</v>
      </c>
      <c r="AM198" s="84">
        <v>42595</v>
      </c>
      <c r="AN198" s="4" t="s">
        <v>602</v>
      </c>
    </row>
    <row r="199" ht="12.95" customHeight="1" spans="1:40">
      <c r="A199" s="84">
        <v>44392</v>
      </c>
      <c r="B199" s="4" t="s">
        <v>622</v>
      </c>
      <c r="H199" s="84">
        <v>44026</v>
      </c>
      <c r="I199" s="4" t="s">
        <v>619</v>
      </c>
      <c r="M199" s="2" t="s">
        <v>1282</v>
      </c>
      <c r="O199" s="84">
        <v>43661</v>
      </c>
      <c r="P199" s="4" t="s">
        <v>620</v>
      </c>
      <c r="T199" s="2" t="s">
        <v>1283</v>
      </c>
      <c r="W199" s="84">
        <v>43296</v>
      </c>
      <c r="X199" s="4" t="s">
        <v>603</v>
      </c>
      <c r="AE199" s="84">
        <v>42931</v>
      </c>
      <c r="AF199" s="4" t="s">
        <v>602</v>
      </c>
      <c r="AM199" s="84">
        <v>42596</v>
      </c>
      <c r="AN199" s="4" t="s">
        <v>603</v>
      </c>
    </row>
    <row r="200" ht="12.95" customHeight="1" spans="1:41">
      <c r="A200" s="84">
        <v>44393</v>
      </c>
      <c r="B200" s="4" t="s">
        <v>617</v>
      </c>
      <c r="H200" s="84">
        <v>44027</v>
      </c>
      <c r="I200" s="4" t="s">
        <v>618</v>
      </c>
      <c r="M200" s="2" t="s">
        <v>1284</v>
      </c>
      <c r="O200" s="84">
        <v>43662</v>
      </c>
      <c r="P200" s="4" t="s">
        <v>619</v>
      </c>
      <c r="T200" s="2" t="s">
        <v>1285</v>
      </c>
      <c r="W200" s="84">
        <v>43297</v>
      </c>
      <c r="X200" s="4" t="s">
        <v>620</v>
      </c>
      <c r="AB200" s="2" t="s">
        <v>1286</v>
      </c>
      <c r="AE200" s="84">
        <v>42932</v>
      </c>
      <c r="AF200" s="4" t="s">
        <v>603</v>
      </c>
      <c r="AM200" s="84">
        <v>42597</v>
      </c>
      <c r="AN200" s="4" t="s">
        <v>620</v>
      </c>
      <c r="AO200" s="80">
        <v>-8</v>
      </c>
    </row>
    <row r="201" ht="12.95" customHeight="1" spans="1:43">
      <c r="A201" s="84">
        <v>44394</v>
      </c>
      <c r="B201" s="4" t="s">
        <v>602</v>
      </c>
      <c r="H201" s="84">
        <v>44028</v>
      </c>
      <c r="I201" s="4" t="s">
        <v>622</v>
      </c>
      <c r="M201" s="2" t="s">
        <v>1287</v>
      </c>
      <c r="O201" s="84">
        <v>43663</v>
      </c>
      <c r="P201" s="4" t="s">
        <v>618</v>
      </c>
      <c r="T201" s="2" t="s">
        <v>1288</v>
      </c>
      <c r="W201" s="84">
        <v>43298</v>
      </c>
      <c r="X201" s="4" t="s">
        <v>619</v>
      </c>
      <c r="AB201" s="2" t="s">
        <v>1289</v>
      </c>
      <c r="AE201" s="84">
        <v>42933</v>
      </c>
      <c r="AF201" s="4" t="s">
        <v>620</v>
      </c>
      <c r="AJ201" s="2" t="s">
        <v>1290</v>
      </c>
      <c r="AK201" s="2">
        <f>3.7*77</f>
        <v>284.9</v>
      </c>
      <c r="AM201" s="84">
        <v>42598</v>
      </c>
      <c r="AN201" s="4" t="s">
        <v>619</v>
      </c>
      <c r="AQ201" s="81" t="s">
        <v>1291</v>
      </c>
    </row>
    <row r="202" ht="12.95" customHeight="1" spans="1:43">
      <c r="A202" s="84">
        <v>44395</v>
      </c>
      <c r="B202" s="4" t="s">
        <v>603</v>
      </c>
      <c r="H202" s="84">
        <v>44029</v>
      </c>
      <c r="I202" s="4" t="s">
        <v>617</v>
      </c>
      <c r="M202" s="2" t="s">
        <v>1292</v>
      </c>
      <c r="O202" s="84">
        <v>43664</v>
      </c>
      <c r="P202" s="4" t="s">
        <v>622</v>
      </c>
      <c r="T202" s="2" t="s">
        <v>1293</v>
      </c>
      <c r="W202" s="84">
        <v>43299</v>
      </c>
      <c r="X202" s="4" t="s">
        <v>618</v>
      </c>
      <c r="AB202" s="2" t="s">
        <v>1289</v>
      </c>
      <c r="AE202" s="84">
        <v>42934</v>
      </c>
      <c r="AF202" s="4" t="s">
        <v>619</v>
      </c>
      <c r="AJ202" s="85" t="s">
        <v>1294</v>
      </c>
      <c r="AM202" s="84">
        <v>42599</v>
      </c>
      <c r="AN202" s="4" t="s">
        <v>618</v>
      </c>
      <c r="AQ202" s="81" t="s">
        <v>1295</v>
      </c>
    </row>
    <row r="203" ht="12.95" customHeight="1" spans="1:43">
      <c r="A203" s="84">
        <v>44396</v>
      </c>
      <c r="B203" s="4" t="s">
        <v>620</v>
      </c>
      <c r="H203" s="84">
        <v>44030</v>
      </c>
      <c r="I203" s="4" t="s">
        <v>602</v>
      </c>
      <c r="O203" s="84">
        <v>43665</v>
      </c>
      <c r="P203" s="4" t="s">
        <v>617</v>
      </c>
      <c r="T203" s="2" t="s">
        <v>1296</v>
      </c>
      <c r="W203" s="84">
        <v>43300</v>
      </c>
      <c r="X203" s="4" t="s">
        <v>622</v>
      </c>
      <c r="AA203" s="2" t="s">
        <v>1297</v>
      </c>
      <c r="AB203" s="2" t="s">
        <v>1298</v>
      </c>
      <c r="AE203" s="84">
        <v>42935</v>
      </c>
      <c r="AF203" s="4" t="s">
        <v>618</v>
      </c>
      <c r="AJ203" s="2" t="s">
        <v>1299</v>
      </c>
      <c r="AM203" s="84">
        <v>42600</v>
      </c>
      <c r="AN203" s="4" t="s">
        <v>622</v>
      </c>
      <c r="AQ203" s="81" t="s">
        <v>1300</v>
      </c>
    </row>
    <row r="204" ht="12.95" customHeight="1" spans="1:44">
      <c r="A204" s="84">
        <v>44397</v>
      </c>
      <c r="B204" s="4" t="s">
        <v>619</v>
      </c>
      <c r="H204" s="84">
        <v>44031</v>
      </c>
      <c r="I204" s="4" t="s">
        <v>603</v>
      </c>
      <c r="O204" s="84">
        <v>43666</v>
      </c>
      <c r="P204" s="4" t="s">
        <v>602</v>
      </c>
      <c r="W204" s="84">
        <v>43301</v>
      </c>
      <c r="X204" s="4" t="s">
        <v>617</v>
      </c>
      <c r="Z204" s="2">
        <v>4</v>
      </c>
      <c r="AA204" s="2" t="s">
        <v>1297</v>
      </c>
      <c r="AB204" s="2" t="s">
        <v>1301</v>
      </c>
      <c r="AE204" s="84">
        <v>42936</v>
      </c>
      <c r="AF204" s="4" t="s">
        <v>622</v>
      </c>
      <c r="AJ204" s="2" t="s">
        <v>1302</v>
      </c>
      <c r="AM204" s="84">
        <v>42601</v>
      </c>
      <c r="AN204" s="4" t="s">
        <v>617</v>
      </c>
      <c r="AQ204" s="81" t="s">
        <v>1303</v>
      </c>
      <c r="AR204" s="34">
        <f>488658+177736+2147</f>
        <v>668541</v>
      </c>
    </row>
    <row r="205" ht="12.95" customHeight="1" spans="1:40">
      <c r="A205" s="84">
        <v>44398</v>
      </c>
      <c r="B205" s="4" t="s">
        <v>618</v>
      </c>
      <c r="H205" s="84">
        <v>44032</v>
      </c>
      <c r="I205" s="4" t="s">
        <v>620</v>
      </c>
      <c r="M205" s="2" t="s">
        <v>1282</v>
      </c>
      <c r="O205" s="84">
        <v>43667</v>
      </c>
      <c r="P205" s="4" t="s">
        <v>603</v>
      </c>
      <c r="W205" s="84">
        <v>43302</v>
      </c>
      <c r="X205" s="4" t="s">
        <v>602</v>
      </c>
      <c r="AA205" s="2" t="s">
        <v>1297</v>
      </c>
      <c r="AE205" s="84">
        <v>42937</v>
      </c>
      <c r="AF205" s="4" t="s">
        <v>617</v>
      </c>
      <c r="AJ205" s="2" t="s">
        <v>1304</v>
      </c>
      <c r="AM205" s="84">
        <v>42602</v>
      </c>
      <c r="AN205" s="4" t="s">
        <v>602</v>
      </c>
    </row>
    <row r="206" ht="12.95" customHeight="1" spans="1:40">
      <c r="A206" s="84">
        <v>44399</v>
      </c>
      <c r="B206" s="4" t="s">
        <v>622</v>
      </c>
      <c r="H206" s="84">
        <v>44033</v>
      </c>
      <c r="I206" s="4" t="s">
        <v>619</v>
      </c>
      <c r="M206" s="2" t="s">
        <v>1305</v>
      </c>
      <c r="O206" s="84">
        <v>43668</v>
      </c>
      <c r="P206" s="4" t="s">
        <v>620</v>
      </c>
      <c r="S206" s="2" t="s">
        <v>1306</v>
      </c>
      <c r="T206" s="2" t="s">
        <v>1307</v>
      </c>
      <c r="W206" s="84">
        <v>43303</v>
      </c>
      <c r="X206" s="4" t="s">
        <v>603</v>
      </c>
      <c r="AA206" s="2" t="s">
        <v>1297</v>
      </c>
      <c r="AE206" s="84">
        <v>42938</v>
      </c>
      <c r="AF206" s="4" t="s">
        <v>602</v>
      </c>
      <c r="AM206" s="84">
        <v>42603</v>
      </c>
      <c r="AN206" s="4" t="s">
        <v>603</v>
      </c>
    </row>
    <row r="207" ht="12.95" customHeight="1" spans="1:43">
      <c r="A207" s="84">
        <v>44400</v>
      </c>
      <c r="B207" s="4" t="s">
        <v>617</v>
      </c>
      <c r="H207" s="84">
        <v>44034</v>
      </c>
      <c r="I207" s="4" t="s">
        <v>618</v>
      </c>
      <c r="M207" s="2" t="s">
        <v>1308</v>
      </c>
      <c r="O207" s="84">
        <v>43669</v>
      </c>
      <c r="P207" s="4" t="s">
        <v>619</v>
      </c>
      <c r="S207" s="2" t="s">
        <v>1306</v>
      </c>
      <c r="T207" s="2" t="s">
        <v>1309</v>
      </c>
      <c r="W207" s="84">
        <v>43304</v>
      </c>
      <c r="X207" s="4" t="s">
        <v>620</v>
      </c>
      <c r="Z207" s="2">
        <v>4</v>
      </c>
      <c r="AA207" s="2" t="s">
        <v>1297</v>
      </c>
      <c r="AB207" s="2" t="s">
        <v>1310</v>
      </c>
      <c r="AC207" s="2" t="s">
        <v>1311</v>
      </c>
      <c r="AE207" s="84">
        <v>42939</v>
      </c>
      <c r="AF207" s="4" t="s">
        <v>603</v>
      </c>
      <c r="AM207" s="84">
        <v>42604</v>
      </c>
      <c r="AN207" s="4" t="s">
        <v>620</v>
      </c>
      <c r="AQ207" s="81" t="s">
        <v>1312</v>
      </c>
    </row>
    <row r="208" ht="12.95" customHeight="1" spans="1:43">
      <c r="A208" s="84">
        <v>44401</v>
      </c>
      <c r="B208" s="4" t="s">
        <v>602</v>
      </c>
      <c r="H208" s="84">
        <v>44035</v>
      </c>
      <c r="I208" s="4" t="s">
        <v>622</v>
      </c>
      <c r="M208" s="85" t="s">
        <v>1313</v>
      </c>
      <c r="O208" s="84">
        <v>43670</v>
      </c>
      <c r="P208" s="4" t="s">
        <v>618</v>
      </c>
      <c r="S208" s="2" t="s">
        <v>1306</v>
      </c>
      <c r="T208" s="85" t="s">
        <v>1314</v>
      </c>
      <c r="W208" s="84">
        <v>43305</v>
      </c>
      <c r="X208" s="4" t="s">
        <v>619</v>
      </c>
      <c r="Z208" s="2">
        <v>4</v>
      </c>
      <c r="AA208" s="2" t="s">
        <v>1297</v>
      </c>
      <c r="AB208" s="2" t="s">
        <v>1315</v>
      </c>
      <c r="AC208" s="2" t="s">
        <v>1316</v>
      </c>
      <c r="AE208" s="84">
        <v>42940</v>
      </c>
      <c r="AF208" s="4" t="s">
        <v>620</v>
      </c>
      <c r="AJ208" s="2" t="s">
        <v>1317</v>
      </c>
      <c r="AM208" s="84">
        <v>42605</v>
      </c>
      <c r="AN208" s="4" t="s">
        <v>619</v>
      </c>
      <c r="AQ208" s="81" t="s">
        <v>1318</v>
      </c>
    </row>
    <row r="209" ht="12.95" customHeight="1" spans="1:43">
      <c r="A209" s="84">
        <v>44402</v>
      </c>
      <c r="B209" s="4" t="s">
        <v>603</v>
      </c>
      <c r="H209" s="84">
        <v>44036</v>
      </c>
      <c r="I209" s="4" t="s">
        <v>617</v>
      </c>
      <c r="M209" s="85" t="s">
        <v>1319</v>
      </c>
      <c r="O209" s="84">
        <v>43671</v>
      </c>
      <c r="P209" s="4" t="s">
        <v>622</v>
      </c>
      <c r="S209" s="2" t="s">
        <v>515</v>
      </c>
      <c r="T209" s="2" t="s">
        <v>1320</v>
      </c>
      <c r="W209" s="84">
        <v>43306</v>
      </c>
      <c r="X209" s="4" t="s">
        <v>618</v>
      </c>
      <c r="Z209" s="2">
        <v>4</v>
      </c>
      <c r="AA209" s="2" t="s">
        <v>1297</v>
      </c>
      <c r="AB209" s="2" t="s">
        <v>1321</v>
      </c>
      <c r="AC209" s="2" t="s">
        <v>1322</v>
      </c>
      <c r="AE209" s="84">
        <v>42941</v>
      </c>
      <c r="AF209" s="4" t="s">
        <v>619</v>
      </c>
      <c r="AJ209" s="2" t="s">
        <v>1323</v>
      </c>
      <c r="AM209" s="84">
        <v>42606</v>
      </c>
      <c r="AN209" s="4" t="s">
        <v>618</v>
      </c>
      <c r="AQ209" s="81" t="s">
        <v>1324</v>
      </c>
    </row>
    <row r="210" ht="12.95" customHeight="1" spans="1:43">
      <c r="A210" s="84">
        <v>44403</v>
      </c>
      <c r="B210" s="4" t="s">
        <v>620</v>
      </c>
      <c r="H210" s="84">
        <v>44037</v>
      </c>
      <c r="I210" s="4" t="s">
        <v>602</v>
      </c>
      <c r="M210" s="85"/>
      <c r="O210" s="84">
        <v>43672</v>
      </c>
      <c r="P210" s="4" t="s">
        <v>617</v>
      </c>
      <c r="S210" s="2" t="s">
        <v>515</v>
      </c>
      <c r="T210" s="2" t="s">
        <v>1325</v>
      </c>
      <c r="W210" s="84">
        <v>43307</v>
      </c>
      <c r="X210" s="4" t="s">
        <v>622</v>
      </c>
      <c r="AA210" s="2" t="s">
        <v>1297</v>
      </c>
      <c r="AB210" s="2" t="s">
        <v>1326</v>
      </c>
      <c r="AE210" s="84">
        <v>42942</v>
      </c>
      <c r="AF210" s="4" t="s">
        <v>618</v>
      </c>
      <c r="AJ210" s="2" t="s">
        <v>1327</v>
      </c>
      <c r="AM210" s="84">
        <v>42607</v>
      </c>
      <c r="AN210" s="4" t="s">
        <v>622</v>
      </c>
      <c r="AQ210" s="81" t="s">
        <v>1328</v>
      </c>
    </row>
    <row r="211" ht="12.95" customHeight="1" spans="1:43">
      <c r="A211" s="84">
        <v>44404</v>
      </c>
      <c r="B211" s="4" t="s">
        <v>619</v>
      </c>
      <c r="H211" s="84">
        <v>44038</v>
      </c>
      <c r="I211" s="4" t="s">
        <v>603</v>
      </c>
      <c r="O211" s="84">
        <v>43673</v>
      </c>
      <c r="P211" s="4" t="s">
        <v>602</v>
      </c>
      <c r="W211" s="84">
        <v>43308</v>
      </c>
      <c r="X211" s="4" t="s">
        <v>617</v>
      </c>
      <c r="AA211" s="2" t="s">
        <v>1297</v>
      </c>
      <c r="AB211" s="2" t="s">
        <v>1329</v>
      </c>
      <c r="AE211" s="84">
        <v>42943</v>
      </c>
      <c r="AF211" s="4" t="s">
        <v>622</v>
      </c>
      <c r="AJ211" s="2" t="s">
        <v>1330</v>
      </c>
      <c r="AM211" s="84">
        <v>42608</v>
      </c>
      <c r="AN211" s="4" t="s">
        <v>617</v>
      </c>
      <c r="AQ211" s="81" t="s">
        <v>1331</v>
      </c>
    </row>
    <row r="212" ht="12.95" customHeight="1" spans="1:43">
      <c r="A212" s="84">
        <v>44405</v>
      </c>
      <c r="B212" s="4" t="s">
        <v>618</v>
      </c>
      <c r="H212" s="84">
        <v>44039</v>
      </c>
      <c r="I212" s="4" t="s">
        <v>620</v>
      </c>
      <c r="M212" s="85" t="s">
        <v>1313</v>
      </c>
      <c r="O212" s="84">
        <v>43674</v>
      </c>
      <c r="P212" s="4" t="s">
        <v>603</v>
      </c>
      <c r="W212" s="84">
        <v>43309</v>
      </c>
      <c r="X212" s="4" t="s">
        <v>602</v>
      </c>
      <c r="Z212" s="2">
        <v>7.5</v>
      </c>
      <c r="AA212" s="2" t="s">
        <v>1297</v>
      </c>
      <c r="AB212" s="2" t="s">
        <v>1329</v>
      </c>
      <c r="AE212" s="84">
        <v>42944</v>
      </c>
      <c r="AF212" s="4" t="s">
        <v>617</v>
      </c>
      <c r="AJ212" s="2" t="s">
        <v>1332</v>
      </c>
      <c r="AM212" s="84">
        <v>42609</v>
      </c>
      <c r="AN212" s="4" t="s">
        <v>602</v>
      </c>
      <c r="AO212" s="80">
        <v>3</v>
      </c>
      <c r="AQ212" s="81" t="s">
        <v>1333</v>
      </c>
    </row>
    <row r="213" ht="12.95" customHeight="1" spans="1:40">
      <c r="A213" s="84">
        <v>44406</v>
      </c>
      <c r="B213" s="4" t="s">
        <v>622</v>
      </c>
      <c r="H213" s="84">
        <v>44040</v>
      </c>
      <c r="I213" s="4" t="s">
        <v>619</v>
      </c>
      <c r="M213" s="85" t="s">
        <v>1334</v>
      </c>
      <c r="O213" s="84">
        <v>43675</v>
      </c>
      <c r="P213" s="4" t="s">
        <v>620</v>
      </c>
      <c r="S213" s="2" t="s">
        <v>1335</v>
      </c>
      <c r="T213" s="2" t="s">
        <v>1336</v>
      </c>
      <c r="W213" s="84">
        <v>43310</v>
      </c>
      <c r="X213" s="4" t="s">
        <v>603</v>
      </c>
      <c r="AA213" s="2" t="s">
        <v>1297</v>
      </c>
      <c r="AE213" s="84">
        <v>42945</v>
      </c>
      <c r="AF213" s="4" t="s">
        <v>602</v>
      </c>
      <c r="AM213" s="84">
        <v>42610</v>
      </c>
      <c r="AN213" s="4" t="s">
        <v>603</v>
      </c>
    </row>
    <row r="214" ht="12.95" customHeight="1" spans="1:43">
      <c r="A214" s="84">
        <v>44407</v>
      </c>
      <c r="B214" s="4" t="s">
        <v>617</v>
      </c>
      <c r="H214" s="84">
        <v>44041</v>
      </c>
      <c r="I214" s="4" t="s">
        <v>618</v>
      </c>
      <c r="M214" s="85" t="s">
        <v>1313</v>
      </c>
      <c r="O214" s="84">
        <v>43676</v>
      </c>
      <c r="P214" s="4" t="s">
        <v>619</v>
      </c>
      <c r="S214" s="2" t="s">
        <v>1335</v>
      </c>
      <c r="T214" s="2" t="s">
        <v>1337</v>
      </c>
      <c r="W214" s="84">
        <v>43311</v>
      </c>
      <c r="X214" s="4" t="s">
        <v>620</v>
      </c>
      <c r="Z214" s="2">
        <v>4</v>
      </c>
      <c r="AA214" s="2" t="s">
        <v>1297</v>
      </c>
      <c r="AB214" s="2" t="s">
        <v>1338</v>
      </c>
      <c r="AC214" s="2" t="s">
        <v>1311</v>
      </c>
      <c r="AE214" s="84">
        <v>42946</v>
      </c>
      <c r="AF214" s="4" t="s">
        <v>603</v>
      </c>
      <c r="AM214" s="84">
        <v>42611</v>
      </c>
      <c r="AN214" s="4" t="s">
        <v>620</v>
      </c>
      <c r="AQ214" s="81" t="s">
        <v>1339</v>
      </c>
    </row>
    <row r="215" ht="12.95" customHeight="1" spans="1:43">
      <c r="A215" s="84">
        <v>44408</v>
      </c>
      <c r="B215" s="4" t="s">
        <v>602</v>
      </c>
      <c r="H215" s="84">
        <v>44042</v>
      </c>
      <c r="I215" s="4" t="s">
        <v>622</v>
      </c>
      <c r="M215" s="85" t="s">
        <v>1340</v>
      </c>
      <c r="O215" s="84">
        <v>43677</v>
      </c>
      <c r="P215" s="4" t="s">
        <v>618</v>
      </c>
      <c r="T215" s="2" t="s">
        <v>744</v>
      </c>
      <c r="W215" s="84">
        <v>43312</v>
      </c>
      <c r="X215" s="4" t="s">
        <v>619</v>
      </c>
      <c r="AA215" s="2" t="s">
        <v>1297</v>
      </c>
      <c r="AB215" s="2" t="s">
        <v>1341</v>
      </c>
      <c r="AC215" s="2" t="s">
        <v>1316</v>
      </c>
      <c r="AE215" s="84">
        <v>42947</v>
      </c>
      <c r="AF215" s="4" t="s">
        <v>620</v>
      </c>
      <c r="AJ215" s="2" t="s">
        <v>1342</v>
      </c>
      <c r="AM215" s="84">
        <v>42612</v>
      </c>
      <c r="AN215" s="4" t="s">
        <v>619</v>
      </c>
      <c r="AQ215" s="81" t="s">
        <v>1343</v>
      </c>
    </row>
    <row r="216" ht="12.95" customHeight="1" spans="1:43">
      <c r="A216" s="84">
        <v>44409</v>
      </c>
      <c r="B216" s="4" t="s">
        <v>603</v>
      </c>
      <c r="H216" s="84">
        <v>44043</v>
      </c>
      <c r="I216" s="4" t="s">
        <v>617</v>
      </c>
      <c r="M216" s="85" t="s">
        <v>1344</v>
      </c>
      <c r="O216" s="84">
        <v>43678</v>
      </c>
      <c r="P216" s="4" t="s">
        <v>622</v>
      </c>
      <c r="S216" s="2" t="s">
        <v>1335</v>
      </c>
      <c r="T216" s="2" t="s">
        <v>1345</v>
      </c>
      <c r="W216" s="84">
        <v>43313</v>
      </c>
      <c r="X216" s="4" t="s">
        <v>618</v>
      </c>
      <c r="AA216" s="2" t="s">
        <v>1297</v>
      </c>
      <c r="AB216" s="2" t="s">
        <v>1346</v>
      </c>
      <c r="AC216" s="2" t="s">
        <v>1322</v>
      </c>
      <c r="AE216" s="84">
        <v>42948</v>
      </c>
      <c r="AF216" s="4" t="s">
        <v>619</v>
      </c>
      <c r="AJ216" s="2" t="s">
        <v>1347</v>
      </c>
      <c r="AM216" s="84">
        <v>42613</v>
      </c>
      <c r="AN216" s="4" t="s">
        <v>618</v>
      </c>
      <c r="AQ216" s="81" t="s">
        <v>1348</v>
      </c>
    </row>
    <row r="217" ht="12.95" customHeight="1" spans="1:43">
      <c r="A217" s="84">
        <v>44410</v>
      </c>
      <c r="B217" s="4" t="s">
        <v>620</v>
      </c>
      <c r="H217" s="84">
        <v>44044</v>
      </c>
      <c r="I217" s="4" t="s">
        <v>602</v>
      </c>
      <c r="O217" s="84">
        <v>43679</v>
      </c>
      <c r="P217" s="4" t="s">
        <v>617</v>
      </c>
      <c r="S217" s="2" t="s">
        <v>475</v>
      </c>
      <c r="T217" s="2" t="s">
        <v>1349</v>
      </c>
      <c r="W217" s="84">
        <v>43314</v>
      </c>
      <c r="X217" s="4" t="s">
        <v>622</v>
      </c>
      <c r="AB217" s="2" t="s">
        <v>1350</v>
      </c>
      <c r="AE217" s="84">
        <v>42949</v>
      </c>
      <c r="AF217" s="4" t="s">
        <v>618</v>
      </c>
      <c r="AJ217" s="2" t="s">
        <v>1351</v>
      </c>
      <c r="AM217" s="84">
        <v>42614</v>
      </c>
      <c r="AN217" s="4" t="s">
        <v>622</v>
      </c>
      <c r="AO217" s="80">
        <v>3</v>
      </c>
      <c r="AQ217" s="81" t="s">
        <v>1352</v>
      </c>
    </row>
    <row r="218" ht="12.95" customHeight="1" spans="1:43">
      <c r="A218" s="84">
        <v>44411</v>
      </c>
      <c r="B218" s="4" t="s">
        <v>619</v>
      </c>
      <c r="H218" s="84">
        <v>44045</v>
      </c>
      <c r="I218" s="4" t="s">
        <v>603</v>
      </c>
      <c r="M218" s="85"/>
      <c r="O218" s="84">
        <v>43680</v>
      </c>
      <c r="P218" s="4" t="s">
        <v>602</v>
      </c>
      <c r="T218" s="85"/>
      <c r="W218" s="84">
        <v>43315</v>
      </c>
      <c r="X218" s="4" t="s">
        <v>617</v>
      </c>
      <c r="AB218" s="85" t="s">
        <v>1353</v>
      </c>
      <c r="AE218" s="84">
        <v>42950</v>
      </c>
      <c r="AF218" s="4" t="s">
        <v>622</v>
      </c>
      <c r="AJ218" s="2" t="s">
        <v>1342</v>
      </c>
      <c r="AM218" s="84">
        <v>42615</v>
      </c>
      <c r="AN218" s="4" t="s">
        <v>617</v>
      </c>
      <c r="AQ218" s="81" t="s">
        <v>1354</v>
      </c>
    </row>
    <row r="219" ht="12.95" customHeight="1" spans="1:40">
      <c r="A219" s="84">
        <v>44412</v>
      </c>
      <c r="B219" s="4" t="s">
        <v>618</v>
      </c>
      <c r="H219" s="84">
        <v>44046</v>
      </c>
      <c r="I219" s="4" t="s">
        <v>620</v>
      </c>
      <c r="M219" s="85" t="s">
        <v>1355</v>
      </c>
      <c r="O219" s="84">
        <v>43681</v>
      </c>
      <c r="P219" s="4" t="s">
        <v>603</v>
      </c>
      <c r="W219" s="84">
        <v>43316</v>
      </c>
      <c r="X219" s="4" t="s">
        <v>602</v>
      </c>
      <c r="AE219" s="84">
        <v>42951</v>
      </c>
      <c r="AF219" s="4" t="s">
        <v>617</v>
      </c>
      <c r="AJ219" s="2" t="s">
        <v>1356</v>
      </c>
      <c r="AM219" s="84">
        <v>42616</v>
      </c>
      <c r="AN219" s="4" t="s">
        <v>602</v>
      </c>
    </row>
    <row r="220" ht="12.95" customHeight="1" spans="1:40">
      <c r="A220" s="84">
        <v>44413</v>
      </c>
      <c r="B220" s="4" t="s">
        <v>622</v>
      </c>
      <c r="H220" s="84">
        <v>44047</v>
      </c>
      <c r="I220" s="4" t="s">
        <v>619</v>
      </c>
      <c r="M220" s="85" t="s">
        <v>1313</v>
      </c>
      <c r="O220" s="84">
        <v>43682</v>
      </c>
      <c r="P220" s="4" t="s">
        <v>620</v>
      </c>
      <c r="S220" s="2" t="s">
        <v>475</v>
      </c>
      <c r="T220" s="2" t="s">
        <v>1357</v>
      </c>
      <c r="W220" s="84">
        <v>43317</v>
      </c>
      <c r="X220" s="4" t="s">
        <v>603</v>
      </c>
      <c r="AE220" s="84">
        <v>42952</v>
      </c>
      <c r="AF220" s="4" t="s">
        <v>602</v>
      </c>
      <c r="AM220" s="84">
        <v>42617</v>
      </c>
      <c r="AN220" s="4" t="s">
        <v>603</v>
      </c>
    </row>
    <row r="221" ht="12.95" customHeight="1" spans="1:43">
      <c r="A221" s="84">
        <v>44414</v>
      </c>
      <c r="B221" s="4" t="s">
        <v>617</v>
      </c>
      <c r="H221" s="84">
        <v>44048</v>
      </c>
      <c r="I221" s="4" t="s">
        <v>618</v>
      </c>
      <c r="M221" s="85" t="s">
        <v>1358</v>
      </c>
      <c r="O221" s="84">
        <v>43683</v>
      </c>
      <c r="P221" s="4" t="s">
        <v>619</v>
      </c>
      <c r="S221" s="2" t="s">
        <v>1306</v>
      </c>
      <c r="T221" s="2" t="s">
        <v>1359</v>
      </c>
      <c r="W221" s="84">
        <v>43318</v>
      </c>
      <c r="X221" s="4" t="s">
        <v>620</v>
      </c>
      <c r="AB221" s="2" t="s">
        <v>1360</v>
      </c>
      <c r="AC221" s="2" t="s">
        <v>1311</v>
      </c>
      <c r="AE221" s="84">
        <v>42953</v>
      </c>
      <c r="AF221" s="4" t="s">
        <v>603</v>
      </c>
      <c r="AM221" s="84">
        <v>42618</v>
      </c>
      <c r="AN221" s="4" t="s">
        <v>620</v>
      </c>
      <c r="AQ221" s="81" t="s">
        <v>1361</v>
      </c>
    </row>
    <row r="222" ht="12.95" customHeight="1" spans="1:43">
      <c r="A222" s="84">
        <v>44415</v>
      </c>
      <c r="B222" s="4" t="s">
        <v>602</v>
      </c>
      <c r="H222" s="84">
        <v>44049</v>
      </c>
      <c r="I222" s="4" t="s">
        <v>622</v>
      </c>
      <c r="K222" s="2">
        <v>0</v>
      </c>
      <c r="M222" s="85" t="s">
        <v>1362</v>
      </c>
      <c r="O222" s="84">
        <v>43684</v>
      </c>
      <c r="P222" s="4" t="s">
        <v>618</v>
      </c>
      <c r="S222" s="2" t="s">
        <v>1306</v>
      </c>
      <c r="T222" s="2" t="s">
        <v>1363</v>
      </c>
      <c r="W222" s="84">
        <v>43319</v>
      </c>
      <c r="X222" s="4" t="s">
        <v>619</v>
      </c>
      <c r="Z222" s="2">
        <v>3</v>
      </c>
      <c r="AB222" s="2" t="s">
        <v>1364</v>
      </c>
      <c r="AC222" s="2" t="s">
        <v>1316</v>
      </c>
      <c r="AE222" s="84">
        <v>42954</v>
      </c>
      <c r="AF222" s="4" t="s">
        <v>620</v>
      </c>
      <c r="AJ222" s="2" t="s">
        <v>1365</v>
      </c>
      <c r="AM222" s="84">
        <v>42619</v>
      </c>
      <c r="AN222" s="4" t="s">
        <v>619</v>
      </c>
      <c r="AQ222" s="81" t="s">
        <v>1366</v>
      </c>
    </row>
    <row r="223" ht="12.95" customHeight="1" spans="1:43">
      <c r="A223" s="84">
        <v>44416</v>
      </c>
      <c r="B223" s="4" t="s">
        <v>603</v>
      </c>
      <c r="H223" s="84">
        <v>44050</v>
      </c>
      <c r="I223" s="4" t="s">
        <v>617</v>
      </c>
      <c r="K223" s="2">
        <v>100</v>
      </c>
      <c r="M223" s="85" t="s">
        <v>1362</v>
      </c>
      <c r="O223" s="84">
        <v>43685</v>
      </c>
      <c r="P223" s="4" t="s">
        <v>622</v>
      </c>
      <c r="S223" s="2" t="s">
        <v>1306</v>
      </c>
      <c r="T223" s="2" t="s">
        <v>1367</v>
      </c>
      <c r="W223" s="84">
        <v>43320</v>
      </c>
      <c r="X223" s="4" t="s">
        <v>618</v>
      </c>
      <c r="Z223" s="2">
        <v>3</v>
      </c>
      <c r="AA223" s="2" t="s">
        <v>1297</v>
      </c>
      <c r="AB223" s="2" t="s">
        <v>1368</v>
      </c>
      <c r="AC223" s="2" t="s">
        <v>1322</v>
      </c>
      <c r="AE223" s="84">
        <v>42955</v>
      </c>
      <c r="AF223" s="4" t="s">
        <v>619</v>
      </c>
      <c r="AJ223" s="2" t="s">
        <v>1369</v>
      </c>
      <c r="AM223" s="84">
        <v>42620</v>
      </c>
      <c r="AN223" s="4" t="s">
        <v>618</v>
      </c>
      <c r="AQ223" s="81" t="s">
        <v>1370</v>
      </c>
    </row>
    <row r="224" ht="12.95" customHeight="1" spans="1:43">
      <c r="A224" s="84">
        <v>44417</v>
      </c>
      <c r="B224" s="4" t="s">
        <v>620</v>
      </c>
      <c r="H224" s="84">
        <v>44051</v>
      </c>
      <c r="I224" s="4" t="s">
        <v>602</v>
      </c>
      <c r="O224" s="84">
        <v>43686</v>
      </c>
      <c r="P224" s="4" t="s">
        <v>617</v>
      </c>
      <c r="S224" s="2" t="s">
        <v>1306</v>
      </c>
      <c r="T224" s="2" t="s">
        <v>1371</v>
      </c>
      <c r="W224" s="84">
        <v>43321</v>
      </c>
      <c r="X224" s="4" t="s">
        <v>622</v>
      </c>
      <c r="AB224" s="2" t="s">
        <v>1372</v>
      </c>
      <c r="AE224" s="84">
        <v>42956</v>
      </c>
      <c r="AF224" s="4" t="s">
        <v>618</v>
      </c>
      <c r="AJ224" s="2" t="s">
        <v>1373</v>
      </c>
      <c r="AM224" s="84">
        <v>42621</v>
      </c>
      <c r="AN224" s="4" t="s">
        <v>622</v>
      </c>
      <c r="AQ224" s="81" t="s">
        <v>1374</v>
      </c>
    </row>
    <row r="225" ht="12.95" customHeight="1" spans="1:43">
      <c r="A225" s="84">
        <v>44418</v>
      </c>
      <c r="B225" s="4" t="s">
        <v>619</v>
      </c>
      <c r="H225" s="84">
        <v>44052</v>
      </c>
      <c r="I225" s="4" t="s">
        <v>603</v>
      </c>
      <c r="O225" s="84">
        <v>43687</v>
      </c>
      <c r="P225" s="4" t="s">
        <v>602</v>
      </c>
      <c r="W225" s="84">
        <v>43322</v>
      </c>
      <c r="X225" s="4" t="s">
        <v>617</v>
      </c>
      <c r="AB225" s="2" t="s">
        <v>804</v>
      </c>
      <c r="AE225" s="84">
        <v>42957</v>
      </c>
      <c r="AF225" s="4" t="s">
        <v>622</v>
      </c>
      <c r="AJ225" s="2" t="s">
        <v>1375</v>
      </c>
      <c r="AM225" s="84">
        <v>42622</v>
      </c>
      <c r="AN225" s="4" t="s">
        <v>617</v>
      </c>
      <c r="AQ225" s="81" t="s">
        <v>1376</v>
      </c>
    </row>
    <row r="226" ht="12.95" customHeight="1" spans="1:40">
      <c r="A226" s="84">
        <v>44419</v>
      </c>
      <c r="B226" s="4" t="s">
        <v>618</v>
      </c>
      <c r="H226" s="84">
        <v>44053</v>
      </c>
      <c r="I226" s="4" t="s">
        <v>620</v>
      </c>
      <c r="K226" s="2">
        <v>100</v>
      </c>
      <c r="M226" s="2" t="s">
        <v>1377</v>
      </c>
      <c r="O226" s="84">
        <v>43688</v>
      </c>
      <c r="P226" s="4" t="s">
        <v>603</v>
      </c>
      <c r="W226" s="84">
        <v>43323</v>
      </c>
      <c r="X226" s="4" t="s">
        <v>602</v>
      </c>
      <c r="AE226" s="84">
        <v>42958</v>
      </c>
      <c r="AF226" s="4" t="s">
        <v>617</v>
      </c>
      <c r="AJ226" s="2" t="s">
        <v>1378</v>
      </c>
      <c r="AM226" s="84">
        <v>42623</v>
      </c>
      <c r="AN226" s="4" t="s">
        <v>602</v>
      </c>
    </row>
    <row r="227" ht="12.95" customHeight="1" spans="1:40">
      <c r="A227" s="84">
        <v>44420</v>
      </c>
      <c r="B227" s="4" t="s">
        <v>622</v>
      </c>
      <c r="H227" s="84">
        <v>44054</v>
      </c>
      <c r="I227" s="4" t="s">
        <v>619</v>
      </c>
      <c r="K227" s="2">
        <v>500</v>
      </c>
      <c r="M227" s="2" t="s">
        <v>1379</v>
      </c>
      <c r="O227" s="84">
        <v>43689</v>
      </c>
      <c r="P227" s="4" t="s">
        <v>620</v>
      </c>
      <c r="S227" s="2" t="s">
        <v>515</v>
      </c>
      <c r="T227" s="2" t="s">
        <v>1380</v>
      </c>
      <c r="W227" s="84">
        <v>43324</v>
      </c>
      <c r="X227" s="4" t="s">
        <v>603</v>
      </c>
      <c r="AE227" s="84">
        <v>42959</v>
      </c>
      <c r="AF227" s="4" t="s">
        <v>602</v>
      </c>
      <c r="AM227" s="84">
        <v>42624</v>
      </c>
      <c r="AN227" s="4" t="s">
        <v>603</v>
      </c>
    </row>
    <row r="228" ht="12.95" customHeight="1" spans="1:44">
      <c r="A228" s="84">
        <v>44421</v>
      </c>
      <c r="B228" s="4" t="s">
        <v>617</v>
      </c>
      <c r="H228" s="84">
        <v>44055</v>
      </c>
      <c r="I228" s="4" t="s">
        <v>618</v>
      </c>
      <c r="K228" s="2">
        <v>1400</v>
      </c>
      <c r="M228" s="2" t="s">
        <v>1379</v>
      </c>
      <c r="O228" s="84">
        <v>43690</v>
      </c>
      <c r="P228" s="4" t="s">
        <v>619</v>
      </c>
      <c r="S228" s="2" t="s">
        <v>515</v>
      </c>
      <c r="T228" s="2" t="s">
        <v>1381</v>
      </c>
      <c r="W228" s="84">
        <v>43325</v>
      </c>
      <c r="X228" s="4" t="s">
        <v>620</v>
      </c>
      <c r="AB228" s="2" t="s">
        <v>1382</v>
      </c>
      <c r="AC228" s="2" t="s">
        <v>1311</v>
      </c>
      <c r="AE228" s="84">
        <v>42960</v>
      </c>
      <c r="AF228" s="4" t="s">
        <v>603</v>
      </c>
      <c r="AM228" s="84">
        <v>42625</v>
      </c>
      <c r="AN228" s="4" t="s">
        <v>620</v>
      </c>
      <c r="AQ228" s="81" t="s">
        <v>1383</v>
      </c>
      <c r="AR228" s="34">
        <f>1440/60</f>
        <v>24</v>
      </c>
    </row>
    <row r="229" ht="12.95" customHeight="1" spans="1:43">
      <c r="A229" s="84">
        <v>44422</v>
      </c>
      <c r="B229" s="4" t="s">
        <v>602</v>
      </c>
      <c r="H229" s="84">
        <v>44056</v>
      </c>
      <c r="I229" s="4" t="s">
        <v>622</v>
      </c>
      <c r="K229" s="2">
        <v>1500</v>
      </c>
      <c r="M229" s="2" t="s">
        <v>1384</v>
      </c>
      <c r="O229" s="84">
        <v>43691</v>
      </c>
      <c r="P229" s="4" t="s">
        <v>618</v>
      </c>
      <c r="S229" s="2" t="s">
        <v>515</v>
      </c>
      <c r="T229" s="2" t="s">
        <v>1381</v>
      </c>
      <c r="W229" s="84">
        <v>43326</v>
      </c>
      <c r="X229" s="4" t="s">
        <v>619</v>
      </c>
      <c r="AB229" s="2" t="s">
        <v>1385</v>
      </c>
      <c r="AC229" s="2" t="s">
        <v>1316</v>
      </c>
      <c r="AE229" s="84">
        <v>42961</v>
      </c>
      <c r="AF229" s="4" t="s">
        <v>620</v>
      </c>
      <c r="AJ229" s="2" t="s">
        <v>1386</v>
      </c>
      <c r="AM229" s="84">
        <v>42626</v>
      </c>
      <c r="AN229" s="4" t="s">
        <v>619</v>
      </c>
      <c r="AQ229" s="81" t="s">
        <v>1383</v>
      </c>
    </row>
    <row r="230" ht="12.95" customHeight="1" spans="1:43">
      <c r="A230" s="84">
        <v>44423</v>
      </c>
      <c r="B230" s="4" t="s">
        <v>603</v>
      </c>
      <c r="H230" s="84">
        <v>44057</v>
      </c>
      <c r="I230" s="4" t="s">
        <v>617</v>
      </c>
      <c r="K230" s="2">
        <v>1500</v>
      </c>
      <c r="M230" s="2" t="s">
        <v>1384</v>
      </c>
      <c r="O230" s="84">
        <v>43692</v>
      </c>
      <c r="P230" s="4" t="s">
        <v>622</v>
      </c>
      <c r="S230" s="2" t="s">
        <v>515</v>
      </c>
      <c r="T230" s="2" t="s">
        <v>1387</v>
      </c>
      <c r="W230" s="84">
        <v>43327</v>
      </c>
      <c r="X230" s="4" t="s">
        <v>618</v>
      </c>
      <c r="AB230" s="2" t="s">
        <v>1388</v>
      </c>
      <c r="AC230" s="2" t="s">
        <v>1322</v>
      </c>
      <c r="AE230" s="84">
        <v>42962</v>
      </c>
      <c r="AF230" s="4" t="s">
        <v>619</v>
      </c>
      <c r="AJ230" s="2" t="s">
        <v>1389</v>
      </c>
      <c r="AM230" s="84">
        <v>42627</v>
      </c>
      <c r="AN230" s="4" t="s">
        <v>618</v>
      </c>
      <c r="AQ230" s="81" t="s">
        <v>1390</v>
      </c>
    </row>
    <row r="231" ht="12.95" customHeight="1" spans="1:40">
      <c r="A231" s="84">
        <v>44424</v>
      </c>
      <c r="B231" s="4" t="s">
        <v>620</v>
      </c>
      <c r="H231" s="84">
        <v>44058</v>
      </c>
      <c r="I231" s="4" t="s">
        <v>602</v>
      </c>
      <c r="O231" s="84">
        <v>43693</v>
      </c>
      <c r="P231" s="4" t="s">
        <v>617</v>
      </c>
      <c r="S231" s="2" t="s">
        <v>515</v>
      </c>
      <c r="T231" s="2" t="s">
        <v>1391</v>
      </c>
      <c r="W231" s="84">
        <v>43328</v>
      </c>
      <c r="X231" s="4" t="s">
        <v>622</v>
      </c>
      <c r="AB231" s="2" t="s">
        <v>1392</v>
      </c>
      <c r="AE231" s="84">
        <v>42963</v>
      </c>
      <c r="AF231" s="4" t="s">
        <v>618</v>
      </c>
      <c r="AJ231" s="2" t="s">
        <v>1393</v>
      </c>
      <c r="AM231" s="84">
        <v>42628</v>
      </c>
      <c r="AN231" s="4" t="s">
        <v>622</v>
      </c>
    </row>
    <row r="232" ht="12.95" customHeight="1" spans="1:40">
      <c r="A232" s="84">
        <v>44425</v>
      </c>
      <c r="B232" s="4" t="s">
        <v>619</v>
      </c>
      <c r="H232" s="84">
        <v>44059</v>
      </c>
      <c r="I232" s="4" t="s">
        <v>603</v>
      </c>
      <c r="O232" s="84">
        <v>43694</v>
      </c>
      <c r="P232" s="4" t="s">
        <v>602</v>
      </c>
      <c r="W232" s="84">
        <v>43329</v>
      </c>
      <c r="X232" s="4" t="s">
        <v>617</v>
      </c>
      <c r="AB232" s="2" t="s">
        <v>1394</v>
      </c>
      <c r="AE232" s="84">
        <v>42964</v>
      </c>
      <c r="AF232" s="4" t="s">
        <v>622</v>
      </c>
      <c r="AJ232" s="2" t="s">
        <v>1395</v>
      </c>
      <c r="AM232" s="84">
        <v>42629</v>
      </c>
      <c r="AN232" s="4" t="s">
        <v>617</v>
      </c>
    </row>
    <row r="233" ht="12.95" customHeight="1" spans="1:40">
      <c r="A233" s="84">
        <v>44426</v>
      </c>
      <c r="B233" s="4" t="s">
        <v>618</v>
      </c>
      <c r="H233" s="84">
        <v>44060</v>
      </c>
      <c r="I233" s="4" t="s">
        <v>620</v>
      </c>
      <c r="J233" s="2">
        <v>7000</v>
      </c>
      <c r="K233" s="2">
        <v>500</v>
      </c>
      <c r="M233" s="2" t="s">
        <v>1384</v>
      </c>
      <c r="O233" s="84">
        <v>43695</v>
      </c>
      <c r="P233" s="4" t="s">
        <v>603</v>
      </c>
      <c r="W233" s="84">
        <v>43330</v>
      </c>
      <c r="X233" s="4" t="s">
        <v>602</v>
      </c>
      <c r="Z233" s="2">
        <v>4</v>
      </c>
      <c r="AB233" s="2" t="s">
        <v>1396</v>
      </c>
      <c r="AE233" s="84">
        <v>42965</v>
      </c>
      <c r="AF233" s="4" t="s">
        <v>617</v>
      </c>
      <c r="AJ233" s="2" t="s">
        <v>1397</v>
      </c>
      <c r="AM233" s="84">
        <v>42630</v>
      </c>
      <c r="AN233" s="4" t="s">
        <v>602</v>
      </c>
    </row>
    <row r="234" ht="12.95" customHeight="1" spans="1:43">
      <c r="A234" s="84">
        <v>44427</v>
      </c>
      <c r="B234" s="4" t="s">
        <v>622</v>
      </c>
      <c r="H234" s="84">
        <v>44061</v>
      </c>
      <c r="I234" s="4" t="s">
        <v>619</v>
      </c>
      <c r="K234" s="2">
        <v>1000</v>
      </c>
      <c r="M234" s="2" t="s">
        <v>1398</v>
      </c>
      <c r="O234" s="84">
        <v>43696</v>
      </c>
      <c r="P234" s="4" t="s">
        <v>620</v>
      </c>
      <c r="S234" s="2" t="s">
        <v>1335</v>
      </c>
      <c r="T234" s="2" t="s">
        <v>1399</v>
      </c>
      <c r="W234" s="84">
        <v>43331</v>
      </c>
      <c r="X234" s="4" t="s">
        <v>603</v>
      </c>
      <c r="AE234" s="84">
        <v>42966</v>
      </c>
      <c r="AF234" s="4" t="s">
        <v>602</v>
      </c>
      <c r="AM234" s="84">
        <v>42631</v>
      </c>
      <c r="AN234" s="4" t="s">
        <v>603</v>
      </c>
      <c r="AQ234" s="81" t="s">
        <v>1400</v>
      </c>
    </row>
    <row r="235" ht="12.95" customHeight="1" spans="1:43">
      <c r="A235" s="84">
        <v>44428</v>
      </c>
      <c r="B235" s="4" t="s">
        <v>617</v>
      </c>
      <c r="H235" s="84">
        <v>44062</v>
      </c>
      <c r="I235" s="4" t="s">
        <v>618</v>
      </c>
      <c r="K235" s="2">
        <v>1500</v>
      </c>
      <c r="M235" s="2" t="s">
        <v>1401</v>
      </c>
      <c r="O235" s="84">
        <v>43697</v>
      </c>
      <c r="P235" s="4" t="s">
        <v>619</v>
      </c>
      <c r="S235" s="2" t="s">
        <v>1335</v>
      </c>
      <c r="T235" s="2" t="s">
        <v>1399</v>
      </c>
      <c r="W235" s="84">
        <v>43332</v>
      </c>
      <c r="X235" s="4" t="s">
        <v>620</v>
      </c>
      <c r="AB235" s="2" t="s">
        <v>1402</v>
      </c>
      <c r="AE235" s="84">
        <v>42967</v>
      </c>
      <c r="AF235" s="4" t="s">
        <v>603</v>
      </c>
      <c r="AM235" s="84">
        <v>42632</v>
      </c>
      <c r="AN235" s="4" t="s">
        <v>620</v>
      </c>
      <c r="AP235" s="4">
        <v>4.5</v>
      </c>
      <c r="AQ235" s="81" t="s">
        <v>1403</v>
      </c>
    </row>
    <row r="236" ht="12.95" customHeight="1" spans="1:43">
      <c r="A236" s="84">
        <v>44429</v>
      </c>
      <c r="B236" s="4" t="s">
        <v>602</v>
      </c>
      <c r="H236" s="84">
        <v>44063</v>
      </c>
      <c r="I236" s="4" t="s">
        <v>622</v>
      </c>
      <c r="K236" s="2">
        <v>1600</v>
      </c>
      <c r="M236" s="2" t="s">
        <v>1401</v>
      </c>
      <c r="O236" s="84">
        <v>43698</v>
      </c>
      <c r="P236" s="4" t="s">
        <v>618</v>
      </c>
      <c r="S236" s="2" t="s">
        <v>1306</v>
      </c>
      <c r="T236" s="2" t="s">
        <v>1404</v>
      </c>
      <c r="W236" s="84">
        <v>43333</v>
      </c>
      <c r="X236" s="4" t="s">
        <v>619</v>
      </c>
      <c r="AB236" s="2" t="s">
        <v>1405</v>
      </c>
      <c r="AE236" s="84">
        <v>42968</v>
      </c>
      <c r="AF236" s="4" t="s">
        <v>620</v>
      </c>
      <c r="AJ236" s="2" t="s">
        <v>1406</v>
      </c>
      <c r="AM236" s="84">
        <v>42633</v>
      </c>
      <c r="AN236" s="4" t="s">
        <v>619</v>
      </c>
      <c r="AQ236" s="81" t="s">
        <v>1407</v>
      </c>
    </row>
    <row r="237" ht="12.95" customHeight="1" spans="1:43">
      <c r="A237" s="84">
        <v>44430</v>
      </c>
      <c r="B237" s="4" t="s">
        <v>603</v>
      </c>
      <c r="H237" s="84">
        <v>44064</v>
      </c>
      <c r="I237" s="4" t="s">
        <v>617</v>
      </c>
      <c r="K237" s="2">
        <v>2000</v>
      </c>
      <c r="M237" s="2" t="s">
        <v>1408</v>
      </c>
      <c r="O237" s="84">
        <v>43699</v>
      </c>
      <c r="P237" s="4" t="s">
        <v>622</v>
      </c>
      <c r="S237" s="2" t="s">
        <v>515</v>
      </c>
      <c r="T237" s="2" t="s">
        <v>1409</v>
      </c>
      <c r="W237" s="84">
        <v>43334</v>
      </c>
      <c r="X237" s="4" t="s">
        <v>618</v>
      </c>
      <c r="Z237" s="2">
        <v>4</v>
      </c>
      <c r="AB237" s="2" t="s">
        <v>1410</v>
      </c>
      <c r="AE237" s="84">
        <v>42969</v>
      </c>
      <c r="AF237" s="4" t="s">
        <v>619</v>
      </c>
      <c r="AJ237" s="2" t="s">
        <v>1411</v>
      </c>
      <c r="AM237" s="84">
        <v>42634</v>
      </c>
      <c r="AN237" s="4" t="s">
        <v>618</v>
      </c>
      <c r="AP237" s="4">
        <v>4</v>
      </c>
      <c r="AQ237" s="81" t="s">
        <v>1412</v>
      </c>
    </row>
    <row r="238" ht="12.95" customHeight="1" spans="1:42">
      <c r="A238" s="84">
        <v>44431</v>
      </c>
      <c r="B238" s="4" t="s">
        <v>620</v>
      </c>
      <c r="H238" s="84">
        <v>44065</v>
      </c>
      <c r="I238" s="4" t="s">
        <v>602</v>
      </c>
      <c r="O238" s="84">
        <v>43700</v>
      </c>
      <c r="P238" s="4" t="s">
        <v>617</v>
      </c>
      <c r="S238" s="2" t="s">
        <v>515</v>
      </c>
      <c r="T238" s="2" t="s">
        <v>1413</v>
      </c>
      <c r="W238" s="84">
        <v>43335</v>
      </c>
      <c r="X238" s="4" t="s">
        <v>622</v>
      </c>
      <c r="AB238" s="2" t="s">
        <v>1414</v>
      </c>
      <c r="AE238" s="84">
        <v>42970</v>
      </c>
      <c r="AF238" s="4" t="s">
        <v>618</v>
      </c>
      <c r="AJ238" s="2" t="s">
        <v>1415</v>
      </c>
      <c r="AM238" s="84">
        <v>42635</v>
      </c>
      <c r="AN238" s="4" t="s">
        <v>622</v>
      </c>
      <c r="AP238" s="4" t="s">
        <v>1416</v>
      </c>
    </row>
    <row r="239" ht="12.95" customHeight="1" spans="1:43">
      <c r="A239" s="84">
        <v>44432</v>
      </c>
      <c r="B239" s="4" t="s">
        <v>619</v>
      </c>
      <c r="H239" s="84">
        <v>44066</v>
      </c>
      <c r="I239" s="4" t="s">
        <v>603</v>
      </c>
      <c r="O239" s="84">
        <v>43701</v>
      </c>
      <c r="P239" s="4" t="s">
        <v>602</v>
      </c>
      <c r="W239" s="84">
        <v>43336</v>
      </c>
      <c r="X239" s="4" t="s">
        <v>617</v>
      </c>
      <c r="AB239" s="2" t="s">
        <v>1417</v>
      </c>
      <c r="AE239" s="84">
        <v>42971</v>
      </c>
      <c r="AF239" s="4" t="s">
        <v>622</v>
      </c>
      <c r="AJ239" s="2" t="s">
        <v>1418</v>
      </c>
      <c r="AM239" s="84">
        <v>42636</v>
      </c>
      <c r="AN239" s="4" t="s">
        <v>617</v>
      </c>
      <c r="AP239" s="4" t="s">
        <v>1419</v>
      </c>
      <c r="AQ239" s="81" t="s">
        <v>1420</v>
      </c>
    </row>
    <row r="240" ht="12.95" customHeight="1" spans="1:42">
      <c r="A240" s="84">
        <v>44433</v>
      </c>
      <c r="B240" s="4" t="s">
        <v>618</v>
      </c>
      <c r="H240" s="84">
        <v>44067</v>
      </c>
      <c r="I240" s="4" t="s">
        <v>620</v>
      </c>
      <c r="K240" s="2">
        <v>1600</v>
      </c>
      <c r="M240" s="2" t="s">
        <v>1421</v>
      </c>
      <c r="O240" s="84">
        <v>43702</v>
      </c>
      <c r="P240" s="4" t="s">
        <v>603</v>
      </c>
      <c r="W240" s="84">
        <v>43337</v>
      </c>
      <c r="X240" s="4" t="s">
        <v>602</v>
      </c>
      <c r="Z240" s="2">
        <v>6.5</v>
      </c>
      <c r="AB240" s="2" t="s">
        <v>1422</v>
      </c>
      <c r="AE240" s="84">
        <v>42972</v>
      </c>
      <c r="AF240" s="4" t="s">
        <v>617</v>
      </c>
      <c r="AJ240" s="2" t="s">
        <v>1423</v>
      </c>
      <c r="AM240" s="84">
        <v>42637</v>
      </c>
      <c r="AN240" s="4" t="s">
        <v>602</v>
      </c>
      <c r="AP240" s="4" t="s">
        <v>1424</v>
      </c>
    </row>
    <row r="241" ht="12.95" customHeight="1" spans="1:42">
      <c r="A241" s="84">
        <v>44434</v>
      </c>
      <c r="B241" s="4" t="s">
        <v>622</v>
      </c>
      <c r="H241" s="84">
        <v>44068</v>
      </c>
      <c r="I241" s="4" t="s">
        <v>619</v>
      </c>
      <c r="K241" s="2">
        <v>3000</v>
      </c>
      <c r="M241" s="2" t="s">
        <v>1421</v>
      </c>
      <c r="O241" s="84">
        <v>43703</v>
      </c>
      <c r="P241" s="4" t="s">
        <v>620</v>
      </c>
      <c r="S241" s="2" t="s">
        <v>1335</v>
      </c>
      <c r="T241" s="2" t="s">
        <v>1425</v>
      </c>
      <c r="W241" s="84">
        <v>43338</v>
      </c>
      <c r="X241" s="4" t="s">
        <v>603</v>
      </c>
      <c r="Z241" s="2">
        <v>3</v>
      </c>
      <c r="AB241" s="2" t="s">
        <v>1426</v>
      </c>
      <c r="AE241" s="84">
        <v>42973</v>
      </c>
      <c r="AF241" s="4" t="s">
        <v>602</v>
      </c>
      <c r="AM241" s="84">
        <v>42638</v>
      </c>
      <c r="AN241" s="4" t="s">
        <v>603</v>
      </c>
      <c r="AP241" s="4" t="s">
        <v>1427</v>
      </c>
    </row>
    <row r="242" ht="12.95" customHeight="1" spans="1:43">
      <c r="A242" s="84">
        <v>44435</v>
      </c>
      <c r="B242" s="4" t="s">
        <v>617</v>
      </c>
      <c r="H242" s="84">
        <v>44069</v>
      </c>
      <c r="I242" s="4" t="s">
        <v>618</v>
      </c>
      <c r="K242" s="2">
        <v>2000</v>
      </c>
      <c r="M242" s="2" t="s">
        <v>1421</v>
      </c>
      <c r="O242" s="84">
        <v>43704</v>
      </c>
      <c r="P242" s="4" t="s">
        <v>619</v>
      </c>
      <c r="S242" s="2" t="s">
        <v>1335</v>
      </c>
      <c r="T242" s="2" t="s">
        <v>1428</v>
      </c>
      <c r="W242" s="84">
        <v>43339</v>
      </c>
      <c r="X242" s="4" t="s">
        <v>620</v>
      </c>
      <c r="AB242" s="2" t="s">
        <v>1429</v>
      </c>
      <c r="AE242" s="84">
        <v>42974</v>
      </c>
      <c r="AF242" s="4" t="s">
        <v>603</v>
      </c>
      <c r="AM242" s="84">
        <v>42639</v>
      </c>
      <c r="AN242" s="4" t="s">
        <v>620</v>
      </c>
      <c r="AP242" s="4" t="s">
        <v>1416</v>
      </c>
      <c r="AQ242" s="81" t="s">
        <v>1430</v>
      </c>
    </row>
    <row r="243" ht="12.95" customHeight="1" spans="1:42">
      <c r="A243" s="84">
        <v>44436</v>
      </c>
      <c r="B243" s="4" t="s">
        <v>602</v>
      </c>
      <c r="H243" s="84">
        <v>44070</v>
      </c>
      <c r="I243" s="4" t="s">
        <v>622</v>
      </c>
      <c r="K243" s="2">
        <v>1000</v>
      </c>
      <c r="M243" s="2" t="s">
        <v>1421</v>
      </c>
      <c r="O243" s="84">
        <v>43705</v>
      </c>
      <c r="P243" s="4" t="s">
        <v>618</v>
      </c>
      <c r="S243" s="2" t="s">
        <v>1335</v>
      </c>
      <c r="T243" s="2" t="s">
        <v>1431</v>
      </c>
      <c r="W243" s="84">
        <v>43340</v>
      </c>
      <c r="X243" s="4" t="s">
        <v>619</v>
      </c>
      <c r="AA243" s="2" t="s">
        <v>721</v>
      </c>
      <c r="AB243" s="2" t="s">
        <v>1298</v>
      </c>
      <c r="AE243" s="84">
        <v>42975</v>
      </c>
      <c r="AF243" s="4" t="s">
        <v>620</v>
      </c>
      <c r="AJ243" s="2" t="s">
        <v>1432</v>
      </c>
      <c r="AM243" s="84">
        <v>42640</v>
      </c>
      <c r="AN243" s="4" t="s">
        <v>619</v>
      </c>
      <c r="AP243" s="4" t="s">
        <v>1416</v>
      </c>
    </row>
    <row r="244" ht="12.95" customHeight="1" spans="1:42">
      <c r="A244" s="84">
        <v>44437</v>
      </c>
      <c r="B244" s="4" t="s">
        <v>603</v>
      </c>
      <c r="H244" s="84">
        <v>44071</v>
      </c>
      <c r="I244" s="4" t="s">
        <v>617</v>
      </c>
      <c r="K244" s="2">
        <v>500</v>
      </c>
      <c r="M244" s="2" t="s">
        <v>1433</v>
      </c>
      <c r="O244" s="84">
        <v>43706</v>
      </c>
      <c r="P244" s="4" t="s">
        <v>622</v>
      </c>
      <c r="S244" s="2" t="s">
        <v>1335</v>
      </c>
      <c r="T244" s="2" t="s">
        <v>1434</v>
      </c>
      <c r="W244" s="84">
        <v>43341</v>
      </c>
      <c r="X244" s="4" t="s">
        <v>618</v>
      </c>
      <c r="Z244" s="2">
        <v>3</v>
      </c>
      <c r="AA244" s="2" t="s">
        <v>721</v>
      </c>
      <c r="AB244" s="2" t="s">
        <v>1435</v>
      </c>
      <c r="AE244" s="84">
        <v>42976</v>
      </c>
      <c r="AF244" s="4" t="s">
        <v>619</v>
      </c>
      <c r="AG244" s="2">
        <v>4</v>
      </c>
      <c r="AJ244" s="2" t="s">
        <v>1436</v>
      </c>
      <c r="AM244" s="84">
        <v>42641</v>
      </c>
      <c r="AN244" s="4" t="s">
        <v>618</v>
      </c>
      <c r="AP244" s="4" t="s">
        <v>1419</v>
      </c>
    </row>
    <row r="245" ht="12.95" customHeight="1" spans="1:42">
      <c r="A245" s="84">
        <v>44438</v>
      </c>
      <c r="B245" s="4" t="s">
        <v>620</v>
      </c>
      <c r="H245" s="84">
        <v>44072</v>
      </c>
      <c r="I245" s="4" t="s">
        <v>602</v>
      </c>
      <c r="O245" s="84">
        <v>43707</v>
      </c>
      <c r="P245" s="4" t="s">
        <v>617</v>
      </c>
      <c r="S245" s="2" t="s">
        <v>515</v>
      </c>
      <c r="T245" s="2" t="s">
        <v>1437</v>
      </c>
      <c r="W245" s="84">
        <v>43342</v>
      </c>
      <c r="X245" s="4" t="s">
        <v>622</v>
      </c>
      <c r="Z245" s="2">
        <v>3</v>
      </c>
      <c r="AA245" s="2" t="s">
        <v>721</v>
      </c>
      <c r="AB245" s="85" t="s">
        <v>1438</v>
      </c>
      <c r="AE245" s="84">
        <v>42977</v>
      </c>
      <c r="AF245" s="4" t="s">
        <v>618</v>
      </c>
      <c r="AJ245" s="2" t="s">
        <v>1439</v>
      </c>
      <c r="AM245" s="84">
        <v>42642</v>
      </c>
      <c r="AN245" s="4" t="s">
        <v>622</v>
      </c>
      <c r="AP245" s="4" t="s">
        <v>1419</v>
      </c>
    </row>
    <row r="246" ht="12.95" customHeight="1" spans="1:40">
      <c r="A246" s="84">
        <v>44439</v>
      </c>
      <c r="B246" s="4" t="s">
        <v>619</v>
      </c>
      <c r="H246" s="84">
        <v>44073</v>
      </c>
      <c r="I246" s="4" t="s">
        <v>603</v>
      </c>
      <c r="O246" s="84">
        <v>43708</v>
      </c>
      <c r="P246" s="4" t="s">
        <v>602</v>
      </c>
      <c r="W246" s="84">
        <v>43343</v>
      </c>
      <c r="X246" s="4" t="s">
        <v>617</v>
      </c>
      <c r="Z246" s="2">
        <v>3</v>
      </c>
      <c r="AA246" s="2" t="s">
        <v>721</v>
      </c>
      <c r="AB246" s="85" t="s">
        <v>1440</v>
      </c>
      <c r="AE246" s="84">
        <v>42978</v>
      </c>
      <c r="AF246" s="4" t="s">
        <v>622</v>
      </c>
      <c r="AJ246" s="2" t="s">
        <v>1441</v>
      </c>
      <c r="AM246" s="84">
        <v>42643</v>
      </c>
      <c r="AN246" s="4" t="s">
        <v>617</v>
      </c>
    </row>
    <row r="247" ht="12.95" customHeight="1" spans="1:40">
      <c r="A247" s="84">
        <v>44440</v>
      </c>
      <c r="B247" s="4" t="s">
        <v>618</v>
      </c>
      <c r="H247" s="84">
        <v>44074</v>
      </c>
      <c r="I247" s="4" t="s">
        <v>620</v>
      </c>
      <c r="K247" s="2">
        <v>200</v>
      </c>
      <c r="M247" s="2" t="s">
        <v>1442</v>
      </c>
      <c r="O247" s="84">
        <v>43709</v>
      </c>
      <c r="P247" s="4" t="s">
        <v>603</v>
      </c>
      <c r="W247" s="84">
        <v>43344</v>
      </c>
      <c r="X247" s="4" t="s">
        <v>602</v>
      </c>
      <c r="Z247" s="2">
        <v>7.5</v>
      </c>
      <c r="AA247" s="2" t="s">
        <v>721</v>
      </c>
      <c r="AB247" s="2" t="s">
        <v>1443</v>
      </c>
      <c r="AE247" s="84">
        <v>42979</v>
      </c>
      <c r="AF247" s="4" t="s">
        <v>617</v>
      </c>
      <c r="AJ247" s="2" t="s">
        <v>1444</v>
      </c>
      <c r="AM247" s="84">
        <v>42644</v>
      </c>
      <c r="AN247" s="4" t="s">
        <v>602</v>
      </c>
    </row>
    <row r="248" ht="12.95" customHeight="1" spans="1:40">
      <c r="A248" s="84">
        <v>44441</v>
      </c>
      <c r="B248" s="4" t="s">
        <v>622</v>
      </c>
      <c r="H248" s="84">
        <v>44075</v>
      </c>
      <c r="I248" s="4" t="s">
        <v>619</v>
      </c>
      <c r="K248" s="2">
        <v>200</v>
      </c>
      <c r="O248" s="84">
        <v>43710</v>
      </c>
      <c r="P248" s="4" t="s">
        <v>620</v>
      </c>
      <c r="S248" s="2" t="s">
        <v>475</v>
      </c>
      <c r="T248" s="2" t="s">
        <v>1445</v>
      </c>
      <c r="W248" s="84">
        <v>43345</v>
      </c>
      <c r="X248" s="4" t="s">
        <v>603</v>
      </c>
      <c r="Z248" s="2">
        <v>4</v>
      </c>
      <c r="AA248" s="2" t="s">
        <v>721</v>
      </c>
      <c r="AB248" s="2" t="s">
        <v>1446</v>
      </c>
      <c r="AE248" s="84">
        <v>42980</v>
      </c>
      <c r="AF248" s="4" t="s">
        <v>602</v>
      </c>
      <c r="AM248" s="84">
        <v>42645</v>
      </c>
      <c r="AN248" s="4" t="s">
        <v>603</v>
      </c>
    </row>
    <row r="249" ht="12.95" customHeight="1" spans="1:40">
      <c r="A249" s="84">
        <v>44442</v>
      </c>
      <c r="B249" s="4" t="s">
        <v>617</v>
      </c>
      <c r="H249" s="84">
        <v>44076</v>
      </c>
      <c r="I249" s="4" t="s">
        <v>618</v>
      </c>
      <c r="K249" s="2">
        <v>200</v>
      </c>
      <c r="O249" s="84">
        <v>43711</v>
      </c>
      <c r="P249" s="4" t="s">
        <v>619</v>
      </c>
      <c r="S249" s="2" t="s">
        <v>1335</v>
      </c>
      <c r="T249" s="2" t="s">
        <v>1447</v>
      </c>
      <c r="W249" s="84">
        <v>43346</v>
      </c>
      <c r="X249" s="4" t="s">
        <v>620</v>
      </c>
      <c r="Z249" s="2">
        <v>3</v>
      </c>
      <c r="AA249" s="2" t="s">
        <v>721</v>
      </c>
      <c r="AB249" s="2" t="s">
        <v>1448</v>
      </c>
      <c r="AE249" s="84">
        <v>42981</v>
      </c>
      <c r="AF249" s="4" t="s">
        <v>603</v>
      </c>
      <c r="AM249" s="84">
        <v>42646</v>
      </c>
      <c r="AN249" s="4" t="s">
        <v>620</v>
      </c>
    </row>
    <row r="250" ht="12.95" customHeight="1" spans="1:40">
      <c r="A250" s="84">
        <v>44443</v>
      </c>
      <c r="B250" s="4" t="s">
        <v>602</v>
      </c>
      <c r="H250" s="84">
        <v>44077</v>
      </c>
      <c r="I250" s="4" t="s">
        <v>622</v>
      </c>
      <c r="K250" s="2">
        <v>1200</v>
      </c>
      <c r="O250" s="84">
        <v>43712</v>
      </c>
      <c r="P250" s="4" t="s">
        <v>618</v>
      </c>
      <c r="S250" s="2" t="s">
        <v>1335</v>
      </c>
      <c r="T250" s="2" t="s">
        <v>1449</v>
      </c>
      <c r="W250" s="84">
        <v>43347</v>
      </c>
      <c r="X250" s="4" t="s">
        <v>619</v>
      </c>
      <c r="Z250" s="2">
        <v>3</v>
      </c>
      <c r="AA250" s="2" t="s">
        <v>721</v>
      </c>
      <c r="AB250" s="2" t="s">
        <v>1450</v>
      </c>
      <c r="AE250" s="84">
        <v>42982</v>
      </c>
      <c r="AF250" s="4" t="s">
        <v>620</v>
      </c>
      <c r="AJ250" s="2" t="s">
        <v>1451</v>
      </c>
      <c r="AM250" s="84">
        <v>42647</v>
      </c>
      <c r="AN250" s="4" t="s">
        <v>619</v>
      </c>
    </row>
    <row r="251" ht="12.95" customHeight="1" spans="1:40">
      <c r="A251" s="84">
        <v>44444</v>
      </c>
      <c r="B251" s="4" t="s">
        <v>603</v>
      </c>
      <c r="H251" s="84">
        <v>44078</v>
      </c>
      <c r="I251" s="4" t="s">
        <v>617</v>
      </c>
      <c r="K251" s="2">
        <v>1000</v>
      </c>
      <c r="O251" s="84">
        <v>43713</v>
      </c>
      <c r="P251" s="4" t="s">
        <v>622</v>
      </c>
      <c r="S251" s="2" t="s">
        <v>1335</v>
      </c>
      <c r="T251" s="2" t="s">
        <v>1452</v>
      </c>
      <c r="W251" s="84">
        <v>43348</v>
      </c>
      <c r="X251" s="4" t="s">
        <v>618</v>
      </c>
      <c r="Z251" s="2">
        <v>3</v>
      </c>
      <c r="AA251" s="2" t="s">
        <v>721</v>
      </c>
      <c r="AB251" s="2" t="s">
        <v>1453</v>
      </c>
      <c r="AE251" s="84">
        <v>42983</v>
      </c>
      <c r="AF251" s="4" t="s">
        <v>619</v>
      </c>
      <c r="AJ251" s="2" t="s">
        <v>1454</v>
      </c>
      <c r="AM251" s="84">
        <v>42648</v>
      </c>
      <c r="AN251" s="4" t="s">
        <v>618</v>
      </c>
    </row>
    <row r="252" ht="12.95" customHeight="1" spans="1:40">
      <c r="A252" s="84">
        <v>44445</v>
      </c>
      <c r="B252" s="4" t="s">
        <v>620</v>
      </c>
      <c r="H252" s="84">
        <v>44079</v>
      </c>
      <c r="I252" s="4" t="s">
        <v>602</v>
      </c>
      <c r="O252" s="84">
        <v>43714</v>
      </c>
      <c r="P252" s="4" t="s">
        <v>617</v>
      </c>
      <c r="S252" s="2" t="s">
        <v>475</v>
      </c>
      <c r="T252" s="2" t="s">
        <v>1455</v>
      </c>
      <c r="W252" s="84">
        <v>43349</v>
      </c>
      <c r="X252" s="4" t="s">
        <v>622</v>
      </c>
      <c r="Z252" s="2">
        <v>3</v>
      </c>
      <c r="AA252" s="2" t="s">
        <v>721</v>
      </c>
      <c r="AB252" s="2" t="s">
        <v>1456</v>
      </c>
      <c r="AE252" s="84">
        <v>42984</v>
      </c>
      <c r="AF252" s="4" t="s">
        <v>618</v>
      </c>
      <c r="AG252" s="2" t="s">
        <v>1457</v>
      </c>
      <c r="AJ252" s="2" t="s">
        <v>1458</v>
      </c>
      <c r="AM252" s="84">
        <v>42649</v>
      </c>
      <c r="AN252" s="4" t="s">
        <v>622</v>
      </c>
    </row>
    <row r="253" ht="12.95" customHeight="1" spans="1:40">
      <c r="A253" s="84">
        <v>44446</v>
      </c>
      <c r="B253" s="4" t="s">
        <v>619</v>
      </c>
      <c r="H253" s="84">
        <v>44080</v>
      </c>
      <c r="I253" s="4" t="s">
        <v>603</v>
      </c>
      <c r="O253" s="84">
        <v>43715</v>
      </c>
      <c r="P253" s="4" t="s">
        <v>602</v>
      </c>
      <c r="W253" s="84">
        <v>43350</v>
      </c>
      <c r="X253" s="4" t="s">
        <v>617</v>
      </c>
      <c r="Z253" s="2">
        <v>3</v>
      </c>
      <c r="AA253" s="2" t="s">
        <v>721</v>
      </c>
      <c r="AB253" s="2" t="s">
        <v>1459</v>
      </c>
      <c r="AE253" s="84">
        <v>42985</v>
      </c>
      <c r="AF253" s="4" t="s">
        <v>622</v>
      </c>
      <c r="AJ253" s="2" t="s">
        <v>1460</v>
      </c>
      <c r="AM253" s="84">
        <v>42650</v>
      </c>
      <c r="AN253" s="4" t="s">
        <v>617</v>
      </c>
    </row>
    <row r="254" s="79" customFormat="1" ht="12.95" customHeight="1" spans="1:44">
      <c r="A254" s="84">
        <v>44447</v>
      </c>
      <c r="B254" s="4" t="s">
        <v>618</v>
      </c>
      <c r="H254" s="84">
        <v>44081</v>
      </c>
      <c r="I254" s="4" t="s">
        <v>620</v>
      </c>
      <c r="J254" s="2"/>
      <c r="K254" s="2">
        <v>1000</v>
      </c>
      <c r="L254" s="2"/>
      <c r="M254" s="2"/>
      <c r="O254" s="84">
        <v>43716</v>
      </c>
      <c r="P254" s="4" t="s">
        <v>603</v>
      </c>
      <c r="S254" s="2"/>
      <c r="T254" s="2"/>
      <c r="U254" s="2"/>
      <c r="W254" s="84">
        <v>43351</v>
      </c>
      <c r="X254" s="4" t="s">
        <v>602</v>
      </c>
      <c r="Z254" s="79">
        <v>7.5</v>
      </c>
      <c r="AA254" s="2" t="s">
        <v>721</v>
      </c>
      <c r="AB254" s="2" t="s">
        <v>1461</v>
      </c>
      <c r="AC254" s="2"/>
      <c r="AD254" s="94"/>
      <c r="AE254" s="84">
        <v>42986</v>
      </c>
      <c r="AF254" s="4" t="s">
        <v>617</v>
      </c>
      <c r="AJ254" s="79" t="s">
        <v>1462</v>
      </c>
      <c r="AK254" s="94" t="s">
        <v>1463</v>
      </c>
      <c r="AM254" s="84">
        <v>42651</v>
      </c>
      <c r="AN254" s="4" t="s">
        <v>602</v>
      </c>
      <c r="AO254" s="80"/>
      <c r="AP254" s="4"/>
      <c r="AQ254" s="96"/>
      <c r="AR254" s="97"/>
    </row>
    <row r="255" ht="12.95" customHeight="1" spans="1:40">
      <c r="A255" s="84">
        <v>44448</v>
      </c>
      <c r="B255" s="4" t="s">
        <v>622</v>
      </c>
      <c r="H255" s="84">
        <v>44082</v>
      </c>
      <c r="I255" s="4" t="s">
        <v>619</v>
      </c>
      <c r="K255" s="2">
        <v>1700</v>
      </c>
      <c r="O255" s="84">
        <v>43717</v>
      </c>
      <c r="P255" s="4" t="s">
        <v>620</v>
      </c>
      <c r="S255" s="2" t="s">
        <v>475</v>
      </c>
      <c r="T255" s="2" t="s">
        <v>1464</v>
      </c>
      <c r="W255" s="84">
        <v>43352</v>
      </c>
      <c r="X255" s="4" t="s">
        <v>603</v>
      </c>
      <c r="Z255" s="2">
        <v>4</v>
      </c>
      <c r="AA255" s="2" t="s">
        <v>721</v>
      </c>
      <c r="AB255" s="2" t="s">
        <v>1465</v>
      </c>
      <c r="AE255" s="84">
        <v>42987</v>
      </c>
      <c r="AF255" s="4" t="s">
        <v>602</v>
      </c>
      <c r="AM255" s="84">
        <v>42652</v>
      </c>
      <c r="AN255" s="4" t="s">
        <v>603</v>
      </c>
    </row>
    <row r="256" ht="12.95" customHeight="1" spans="1:40">
      <c r="A256" s="84">
        <v>44449</v>
      </c>
      <c r="B256" s="4" t="s">
        <v>617</v>
      </c>
      <c r="H256" s="84">
        <v>44083</v>
      </c>
      <c r="I256" s="4" t="s">
        <v>618</v>
      </c>
      <c r="K256" s="2">
        <v>1200</v>
      </c>
      <c r="O256" s="84">
        <v>43718</v>
      </c>
      <c r="P256" s="4" t="s">
        <v>619</v>
      </c>
      <c r="S256" s="2" t="s">
        <v>475</v>
      </c>
      <c r="T256" s="2" t="s">
        <v>1466</v>
      </c>
      <c r="W256" s="84">
        <v>43353</v>
      </c>
      <c r="X256" s="4" t="s">
        <v>620</v>
      </c>
      <c r="Z256" s="2">
        <v>3</v>
      </c>
      <c r="AA256" s="2" t="s">
        <v>721</v>
      </c>
      <c r="AB256" s="2" t="s">
        <v>1467</v>
      </c>
      <c r="AE256" s="84">
        <v>42988</v>
      </c>
      <c r="AF256" s="4" t="s">
        <v>603</v>
      </c>
      <c r="AM256" s="84">
        <v>42653</v>
      </c>
      <c r="AN256" s="4" t="s">
        <v>620</v>
      </c>
    </row>
    <row r="257" ht="12.95" customHeight="1" spans="1:40">
      <c r="A257" s="84">
        <v>44450</v>
      </c>
      <c r="B257" s="4" t="s">
        <v>602</v>
      </c>
      <c r="H257" s="84">
        <v>44084</v>
      </c>
      <c r="I257" s="4" t="s">
        <v>622</v>
      </c>
      <c r="K257" s="2">
        <v>1400</v>
      </c>
      <c r="O257" s="84">
        <v>43719</v>
      </c>
      <c r="P257" s="4" t="s">
        <v>618</v>
      </c>
      <c r="S257" s="2" t="s">
        <v>515</v>
      </c>
      <c r="T257" s="2" t="s">
        <v>1468</v>
      </c>
      <c r="W257" s="84">
        <v>43354</v>
      </c>
      <c r="X257" s="4" t="s">
        <v>619</v>
      </c>
      <c r="Z257" s="2">
        <v>3</v>
      </c>
      <c r="AA257" s="2" t="s">
        <v>721</v>
      </c>
      <c r="AB257" s="2" t="s">
        <v>1469</v>
      </c>
      <c r="AE257" s="84">
        <v>42989</v>
      </c>
      <c r="AF257" s="4" t="s">
        <v>620</v>
      </c>
      <c r="AJ257" s="2" t="s">
        <v>1470</v>
      </c>
      <c r="AM257" s="84">
        <v>42654</v>
      </c>
      <c r="AN257" s="4" t="s">
        <v>619</v>
      </c>
    </row>
    <row r="258" ht="12.95" customHeight="1" spans="1:40">
      <c r="A258" s="84">
        <v>44451</v>
      </c>
      <c r="B258" s="4" t="s">
        <v>603</v>
      </c>
      <c r="H258" s="84">
        <v>44085</v>
      </c>
      <c r="I258" s="4" t="s">
        <v>617</v>
      </c>
      <c r="K258" s="2">
        <v>900</v>
      </c>
      <c r="O258" s="84">
        <v>43720</v>
      </c>
      <c r="P258" s="4" t="s">
        <v>622</v>
      </c>
      <c r="S258" s="2" t="s">
        <v>515</v>
      </c>
      <c r="T258" s="2" t="s">
        <v>1471</v>
      </c>
      <c r="W258" s="84">
        <v>43355</v>
      </c>
      <c r="X258" s="4" t="s">
        <v>618</v>
      </c>
      <c r="Z258" s="2">
        <v>3</v>
      </c>
      <c r="AA258" s="2" t="s">
        <v>721</v>
      </c>
      <c r="AB258" s="2" t="s">
        <v>1472</v>
      </c>
      <c r="AE258" s="84">
        <v>42990</v>
      </c>
      <c r="AF258" s="4" t="s">
        <v>619</v>
      </c>
      <c r="AJ258" s="2" t="s">
        <v>1473</v>
      </c>
      <c r="AM258" s="84">
        <v>42655</v>
      </c>
      <c r="AN258" s="4" t="s">
        <v>618</v>
      </c>
    </row>
    <row r="259" ht="12.95" customHeight="1" spans="1:40">
      <c r="A259" s="84">
        <v>44452</v>
      </c>
      <c r="B259" s="4" t="s">
        <v>620</v>
      </c>
      <c r="H259" s="84">
        <v>44086</v>
      </c>
      <c r="I259" s="4" t="s">
        <v>602</v>
      </c>
      <c r="O259" s="84">
        <v>43721</v>
      </c>
      <c r="P259" s="4" t="s">
        <v>617</v>
      </c>
      <c r="S259" s="2" t="s">
        <v>475</v>
      </c>
      <c r="T259" s="2" t="s">
        <v>1474</v>
      </c>
      <c r="W259" s="84">
        <v>43356</v>
      </c>
      <c r="X259" s="4" t="s">
        <v>622</v>
      </c>
      <c r="Z259" s="2">
        <v>3</v>
      </c>
      <c r="AA259" s="2" t="s">
        <v>721</v>
      </c>
      <c r="AB259" s="2" t="s">
        <v>1475</v>
      </c>
      <c r="AE259" s="84">
        <v>42991</v>
      </c>
      <c r="AF259" s="4" t="s">
        <v>618</v>
      </c>
      <c r="AJ259" s="2" t="s">
        <v>1476</v>
      </c>
      <c r="AM259" s="84">
        <v>42656</v>
      </c>
      <c r="AN259" s="4" t="s">
        <v>622</v>
      </c>
    </row>
    <row r="260" ht="12.95" customHeight="1" spans="1:40">
      <c r="A260" s="84">
        <v>44453</v>
      </c>
      <c r="B260" s="4" t="s">
        <v>619</v>
      </c>
      <c r="H260" s="84">
        <v>44087</v>
      </c>
      <c r="I260" s="4" t="s">
        <v>603</v>
      </c>
      <c r="O260" s="84">
        <v>43722</v>
      </c>
      <c r="P260" s="4" t="s">
        <v>602</v>
      </c>
      <c r="W260" s="84">
        <v>43357</v>
      </c>
      <c r="X260" s="4" t="s">
        <v>617</v>
      </c>
      <c r="AA260" s="2" t="s">
        <v>721</v>
      </c>
      <c r="AB260" s="2" t="s">
        <v>1477</v>
      </c>
      <c r="AC260" s="2">
        <f>804*4+812+390</f>
        <v>4418</v>
      </c>
      <c r="AE260" s="84">
        <v>42992</v>
      </c>
      <c r="AF260" s="4" t="s">
        <v>622</v>
      </c>
      <c r="AJ260" s="2" t="s">
        <v>1478</v>
      </c>
      <c r="AM260" s="84">
        <v>42657</v>
      </c>
      <c r="AN260" s="4" t="s">
        <v>617</v>
      </c>
    </row>
    <row r="261" ht="12.95" customHeight="1" spans="1:40">
      <c r="A261" s="84">
        <v>44454</v>
      </c>
      <c r="B261" s="4" t="s">
        <v>618</v>
      </c>
      <c r="H261" s="84">
        <v>44088</v>
      </c>
      <c r="I261" s="4" t="s">
        <v>620</v>
      </c>
      <c r="K261" s="2">
        <v>800</v>
      </c>
      <c r="M261" s="2" t="s">
        <v>1421</v>
      </c>
      <c r="O261" s="84">
        <v>43723</v>
      </c>
      <c r="P261" s="4" t="s">
        <v>603</v>
      </c>
      <c r="W261" s="84">
        <v>43358</v>
      </c>
      <c r="X261" s="4" t="s">
        <v>602</v>
      </c>
      <c r="AC261" s="2">
        <f>AC260+900+50</f>
        <v>5368</v>
      </c>
      <c r="AE261" s="84">
        <v>42993</v>
      </c>
      <c r="AF261" s="4" t="s">
        <v>617</v>
      </c>
      <c r="AJ261" s="2" t="s">
        <v>1479</v>
      </c>
      <c r="AM261" s="84">
        <v>42658</v>
      </c>
      <c r="AN261" s="4" t="s">
        <v>602</v>
      </c>
    </row>
    <row r="262" ht="12.95" customHeight="1" spans="1:40">
      <c r="A262" s="84">
        <v>44455</v>
      </c>
      <c r="B262" s="4" t="s">
        <v>622</v>
      </c>
      <c r="H262" s="84">
        <v>44089</v>
      </c>
      <c r="I262" s="4" t="s">
        <v>619</v>
      </c>
      <c r="K262" s="2">
        <v>6000</v>
      </c>
      <c r="M262" s="85"/>
      <c r="O262" s="84">
        <v>43724</v>
      </c>
      <c r="P262" s="4" t="s">
        <v>620</v>
      </c>
      <c r="S262" s="2" t="s">
        <v>1335</v>
      </c>
      <c r="T262" s="85" t="s">
        <v>1480</v>
      </c>
      <c r="W262" s="84">
        <v>43359</v>
      </c>
      <c r="X262" s="4" t="s">
        <v>603</v>
      </c>
      <c r="AC262" s="2">
        <f>23+80+380</f>
        <v>483</v>
      </c>
      <c r="AE262" s="84">
        <v>42994</v>
      </c>
      <c r="AF262" s="4" t="s">
        <v>602</v>
      </c>
      <c r="AM262" s="84">
        <v>42659</v>
      </c>
      <c r="AN262" s="4" t="s">
        <v>603</v>
      </c>
    </row>
    <row r="263" ht="12.95" customHeight="1" spans="1:40">
      <c r="A263" s="84">
        <v>44456</v>
      </c>
      <c r="B263" s="4" t="s">
        <v>617</v>
      </c>
      <c r="H263" s="84">
        <v>44090</v>
      </c>
      <c r="I263" s="4" t="s">
        <v>618</v>
      </c>
      <c r="O263" s="84">
        <v>43725</v>
      </c>
      <c r="P263" s="4" t="s">
        <v>619</v>
      </c>
      <c r="S263" s="2" t="s">
        <v>1335</v>
      </c>
      <c r="T263" s="2" t="s">
        <v>1481</v>
      </c>
      <c r="W263" s="84">
        <v>43360</v>
      </c>
      <c r="X263" s="4" t="s">
        <v>620</v>
      </c>
      <c r="AB263" s="2" t="s">
        <v>1482</v>
      </c>
      <c r="AE263" s="84">
        <v>42995</v>
      </c>
      <c r="AF263" s="4" t="s">
        <v>603</v>
      </c>
      <c r="AM263" s="84">
        <v>42660</v>
      </c>
      <c r="AN263" s="4" t="s">
        <v>620</v>
      </c>
    </row>
    <row r="264" ht="12.95" customHeight="1" spans="1:40">
      <c r="A264" s="84">
        <v>44457</v>
      </c>
      <c r="B264" s="4" t="s">
        <v>602</v>
      </c>
      <c r="H264" s="84">
        <v>44091</v>
      </c>
      <c r="I264" s="4" t="s">
        <v>622</v>
      </c>
      <c r="O264" s="84">
        <v>43726</v>
      </c>
      <c r="P264" s="4" t="s">
        <v>618</v>
      </c>
      <c r="Q264" s="2" t="s">
        <v>721</v>
      </c>
      <c r="S264" s="2" t="s">
        <v>475</v>
      </c>
      <c r="T264" s="2" t="s">
        <v>1483</v>
      </c>
      <c r="W264" s="84">
        <v>43361</v>
      </c>
      <c r="X264" s="4" t="s">
        <v>619</v>
      </c>
      <c r="AB264" s="2" t="s">
        <v>1484</v>
      </c>
      <c r="AE264" s="84">
        <v>42996</v>
      </c>
      <c r="AF264" s="4" t="s">
        <v>620</v>
      </c>
      <c r="AJ264" s="2" t="s">
        <v>1485</v>
      </c>
      <c r="AM264" s="84">
        <v>42661</v>
      </c>
      <c r="AN264" s="4" t="s">
        <v>619</v>
      </c>
    </row>
    <row r="265" ht="12.95" customHeight="1" spans="1:40">
      <c r="A265" s="84">
        <v>44458</v>
      </c>
      <c r="B265" s="4" t="s">
        <v>603</v>
      </c>
      <c r="H265" s="84">
        <v>44092</v>
      </c>
      <c r="I265" s="4" t="s">
        <v>617</v>
      </c>
      <c r="O265" s="84">
        <v>43727</v>
      </c>
      <c r="P265" s="4" t="s">
        <v>622</v>
      </c>
      <c r="Q265" s="2" t="s">
        <v>721</v>
      </c>
      <c r="S265" s="2" t="s">
        <v>475</v>
      </c>
      <c r="T265" s="2" t="s">
        <v>1486</v>
      </c>
      <c r="W265" s="84">
        <v>43362</v>
      </c>
      <c r="X265" s="4" t="s">
        <v>618</v>
      </c>
      <c r="AB265" s="2" t="s">
        <v>1487</v>
      </c>
      <c r="AE265" s="84">
        <v>42997</v>
      </c>
      <c r="AF265" s="4" t="s">
        <v>619</v>
      </c>
      <c r="AJ265" s="85" t="s">
        <v>1488</v>
      </c>
      <c r="AM265" s="84">
        <v>42662</v>
      </c>
      <c r="AN265" s="4" t="s">
        <v>618</v>
      </c>
    </row>
    <row r="266" ht="12.95" customHeight="1" spans="1:43">
      <c r="A266" s="84">
        <v>44459</v>
      </c>
      <c r="B266" s="4" t="s">
        <v>620</v>
      </c>
      <c r="H266" s="84">
        <v>44093</v>
      </c>
      <c r="I266" s="4" t="s">
        <v>602</v>
      </c>
      <c r="O266" s="84">
        <v>43728</v>
      </c>
      <c r="P266" s="4" t="s">
        <v>617</v>
      </c>
      <c r="Q266" s="2" t="s">
        <v>721</v>
      </c>
      <c r="S266" s="2" t="s">
        <v>475</v>
      </c>
      <c r="T266" s="2" t="s">
        <v>1486</v>
      </c>
      <c r="W266" s="84">
        <v>43363</v>
      </c>
      <c r="X266" s="4" t="s">
        <v>622</v>
      </c>
      <c r="AB266" s="2" t="s">
        <v>1489</v>
      </c>
      <c r="AC266" s="2" t="s">
        <v>1490</v>
      </c>
      <c r="AE266" s="84">
        <v>42998</v>
      </c>
      <c r="AF266" s="4" t="s">
        <v>618</v>
      </c>
      <c r="AJ266" s="85" t="s">
        <v>1491</v>
      </c>
      <c r="AM266" s="84">
        <v>42663</v>
      </c>
      <c r="AN266" s="4" t="s">
        <v>622</v>
      </c>
      <c r="AQ266" s="81" t="s">
        <v>1492</v>
      </c>
    </row>
    <row r="267" ht="12.95" customHeight="1" spans="1:40">
      <c r="A267" s="84">
        <v>44460</v>
      </c>
      <c r="B267" s="4" t="s">
        <v>619</v>
      </c>
      <c r="H267" s="84">
        <v>44094</v>
      </c>
      <c r="I267" s="4" t="s">
        <v>603</v>
      </c>
      <c r="O267" s="84">
        <v>43729</v>
      </c>
      <c r="P267" s="4" t="s">
        <v>602</v>
      </c>
      <c r="Q267" s="2" t="s">
        <v>721</v>
      </c>
      <c r="S267" s="2" t="s">
        <v>475</v>
      </c>
      <c r="T267" s="2" t="s">
        <v>1493</v>
      </c>
      <c r="W267" s="84">
        <v>43364</v>
      </c>
      <c r="X267" s="4" t="s">
        <v>617</v>
      </c>
      <c r="AB267" s="2" t="s">
        <v>1494</v>
      </c>
      <c r="AC267" s="2" t="s">
        <v>1495</v>
      </c>
      <c r="AE267" s="84">
        <v>42999</v>
      </c>
      <c r="AF267" s="4" t="s">
        <v>622</v>
      </c>
      <c r="AJ267" s="2" t="s">
        <v>1496</v>
      </c>
      <c r="AM267" s="84">
        <v>42664</v>
      </c>
      <c r="AN267" s="4" t="s">
        <v>617</v>
      </c>
    </row>
    <row r="268" ht="12.95" customHeight="1" spans="1:40">
      <c r="A268" s="84">
        <v>44461</v>
      </c>
      <c r="B268" s="4" t="s">
        <v>618</v>
      </c>
      <c r="H268" s="84">
        <v>44095</v>
      </c>
      <c r="I268" s="4" t="s">
        <v>620</v>
      </c>
      <c r="M268" s="2" t="s">
        <v>804</v>
      </c>
      <c r="O268" s="84">
        <v>43730</v>
      </c>
      <c r="P268" s="4" t="s">
        <v>603</v>
      </c>
      <c r="Q268" s="2" t="s">
        <v>721</v>
      </c>
      <c r="S268" s="2" t="s">
        <v>475</v>
      </c>
      <c r="T268" s="2" t="s">
        <v>1497</v>
      </c>
      <c r="W268" s="84">
        <v>43365</v>
      </c>
      <c r="X268" s="4" t="s">
        <v>602</v>
      </c>
      <c r="AC268" s="2" t="s">
        <v>1498</v>
      </c>
      <c r="AE268" s="84">
        <v>43000</v>
      </c>
      <c r="AF268" s="4" t="s">
        <v>617</v>
      </c>
      <c r="AJ268" s="2" t="s">
        <v>1499</v>
      </c>
      <c r="AM268" s="84">
        <v>42665</v>
      </c>
      <c r="AN268" s="4" t="s">
        <v>602</v>
      </c>
    </row>
    <row r="269" ht="12.95" customHeight="1" spans="1:40">
      <c r="A269" s="84">
        <v>44462</v>
      </c>
      <c r="B269" s="4" t="s">
        <v>622</v>
      </c>
      <c r="H269" s="84">
        <v>44096</v>
      </c>
      <c r="I269" s="4" t="s">
        <v>619</v>
      </c>
      <c r="M269" s="2" t="s">
        <v>1500</v>
      </c>
      <c r="O269" s="84">
        <v>43731</v>
      </c>
      <c r="P269" s="4" t="s">
        <v>620</v>
      </c>
      <c r="Q269" s="2" t="s">
        <v>721</v>
      </c>
      <c r="S269" s="2" t="s">
        <v>475</v>
      </c>
      <c r="T269" s="2" t="s">
        <v>1501</v>
      </c>
      <c r="W269" s="84">
        <v>43366</v>
      </c>
      <c r="X269" s="4" t="s">
        <v>603</v>
      </c>
      <c r="AC269" s="2" t="s">
        <v>1502</v>
      </c>
      <c r="AE269" s="84">
        <v>43001</v>
      </c>
      <c r="AF269" s="4" t="s">
        <v>602</v>
      </c>
      <c r="AM269" s="84">
        <v>42666</v>
      </c>
      <c r="AN269" s="4" t="s">
        <v>603</v>
      </c>
    </row>
    <row r="270" ht="12.95" customHeight="1" spans="1:40">
      <c r="A270" s="84">
        <v>44463</v>
      </c>
      <c r="B270" s="4" t="s">
        <v>617</v>
      </c>
      <c r="H270" s="84">
        <v>44097</v>
      </c>
      <c r="I270" s="4" t="s">
        <v>618</v>
      </c>
      <c r="M270" s="2" t="s">
        <v>1500</v>
      </c>
      <c r="O270" s="84">
        <v>43732</v>
      </c>
      <c r="P270" s="4" t="s">
        <v>619</v>
      </c>
      <c r="Q270" s="2" t="s">
        <v>721</v>
      </c>
      <c r="S270" s="2" t="s">
        <v>475</v>
      </c>
      <c r="T270" s="2" t="s">
        <v>1503</v>
      </c>
      <c r="W270" s="84">
        <v>43367</v>
      </c>
      <c r="X270" s="4" t="s">
        <v>620</v>
      </c>
      <c r="AE270" s="84">
        <v>43002</v>
      </c>
      <c r="AF270" s="4" t="s">
        <v>603</v>
      </c>
      <c r="AM270" s="84">
        <v>42667</v>
      </c>
      <c r="AN270" s="4" t="s">
        <v>620</v>
      </c>
    </row>
    <row r="271" ht="12.95" customHeight="1" spans="1:40">
      <c r="A271" s="84">
        <v>44464</v>
      </c>
      <c r="B271" s="4" t="s">
        <v>602</v>
      </c>
      <c r="H271" s="84">
        <v>44098</v>
      </c>
      <c r="I271" s="4" t="s">
        <v>622</v>
      </c>
      <c r="M271" s="2" t="s">
        <v>1500</v>
      </c>
      <c r="O271" s="84">
        <v>43733</v>
      </c>
      <c r="P271" s="4" t="s">
        <v>618</v>
      </c>
      <c r="Q271" s="2" t="s">
        <v>721</v>
      </c>
      <c r="S271" s="2" t="s">
        <v>475</v>
      </c>
      <c r="T271" s="2" t="s">
        <v>1504</v>
      </c>
      <c r="W271" s="84">
        <v>43368</v>
      </c>
      <c r="X271" s="4" t="s">
        <v>619</v>
      </c>
      <c r="AB271" s="2" t="s">
        <v>1505</v>
      </c>
      <c r="AE271" s="84">
        <v>43003</v>
      </c>
      <c r="AF271" s="4" t="s">
        <v>620</v>
      </c>
      <c r="AJ271" s="2" t="s">
        <v>1506</v>
      </c>
      <c r="AM271" s="84">
        <v>42668</v>
      </c>
      <c r="AN271" s="4" t="s">
        <v>619</v>
      </c>
    </row>
    <row r="272" ht="12.95" customHeight="1" spans="1:40">
      <c r="A272" s="84">
        <v>44465</v>
      </c>
      <c r="B272" s="4" t="s">
        <v>603</v>
      </c>
      <c r="H272" s="84">
        <v>44099</v>
      </c>
      <c r="I272" s="4" t="s">
        <v>617</v>
      </c>
      <c r="K272" s="2">
        <v>900</v>
      </c>
      <c r="M272" s="2" t="s">
        <v>1500</v>
      </c>
      <c r="O272" s="84">
        <v>43734</v>
      </c>
      <c r="P272" s="4" t="s">
        <v>622</v>
      </c>
      <c r="Q272" s="2" t="s">
        <v>721</v>
      </c>
      <c r="S272" s="2" t="s">
        <v>475</v>
      </c>
      <c r="T272" s="2" t="s">
        <v>1507</v>
      </c>
      <c r="W272" s="84">
        <v>43369</v>
      </c>
      <c r="X272" s="4" t="s">
        <v>618</v>
      </c>
      <c r="AB272" s="2" t="s">
        <v>1508</v>
      </c>
      <c r="AE272" s="84">
        <v>43004</v>
      </c>
      <c r="AF272" s="4" t="s">
        <v>619</v>
      </c>
      <c r="AJ272" s="2" t="s">
        <v>1509</v>
      </c>
      <c r="AM272" s="84">
        <v>42669</v>
      </c>
      <c r="AN272" s="4" t="s">
        <v>618</v>
      </c>
    </row>
    <row r="273" ht="12.95" customHeight="1" spans="1:40">
      <c r="A273" s="84">
        <v>44466</v>
      </c>
      <c r="B273" s="4" t="s">
        <v>620</v>
      </c>
      <c r="H273" s="84">
        <v>44100</v>
      </c>
      <c r="I273" s="4" t="s">
        <v>602</v>
      </c>
      <c r="O273" s="84">
        <v>43735</v>
      </c>
      <c r="P273" s="4" t="s">
        <v>617</v>
      </c>
      <c r="Q273" s="2" t="s">
        <v>721</v>
      </c>
      <c r="S273" s="2" t="s">
        <v>475</v>
      </c>
      <c r="T273" s="2" t="s">
        <v>1486</v>
      </c>
      <c r="W273" s="84">
        <v>43370</v>
      </c>
      <c r="X273" s="4" t="s">
        <v>622</v>
      </c>
      <c r="AB273" s="99" t="s">
        <v>1510</v>
      </c>
      <c r="AE273" s="84">
        <v>43005</v>
      </c>
      <c r="AF273" s="4" t="s">
        <v>618</v>
      </c>
      <c r="AJ273" s="2" t="s">
        <v>1511</v>
      </c>
      <c r="AM273" s="84">
        <v>42670</v>
      </c>
      <c r="AN273" s="4" t="s">
        <v>622</v>
      </c>
    </row>
    <row r="274" ht="12.95" customHeight="1" spans="1:40">
      <c r="A274" s="84">
        <v>44467</v>
      </c>
      <c r="B274" s="4" t="s">
        <v>619</v>
      </c>
      <c r="H274" s="84">
        <v>44101</v>
      </c>
      <c r="I274" s="4" t="s">
        <v>603</v>
      </c>
      <c r="K274" s="2">
        <v>200</v>
      </c>
      <c r="M274" s="2" t="s">
        <v>1512</v>
      </c>
      <c r="O274" s="84">
        <v>43736</v>
      </c>
      <c r="P274" s="4" t="s">
        <v>602</v>
      </c>
      <c r="Q274" s="2" t="s">
        <v>721</v>
      </c>
      <c r="S274" s="2" t="s">
        <v>475</v>
      </c>
      <c r="T274" s="2" t="s">
        <v>1513</v>
      </c>
      <c r="W274" s="84">
        <v>43371</v>
      </c>
      <c r="X274" s="4" t="s">
        <v>617</v>
      </c>
      <c r="AB274" s="2" t="s">
        <v>1514</v>
      </c>
      <c r="AE274" s="84">
        <v>43006</v>
      </c>
      <c r="AF274" s="4" t="s">
        <v>622</v>
      </c>
      <c r="AJ274" s="2" t="s">
        <v>1515</v>
      </c>
      <c r="AM274" s="84">
        <v>42671</v>
      </c>
      <c r="AN274" s="4" t="s">
        <v>617</v>
      </c>
    </row>
    <row r="275" ht="12.95" customHeight="1" spans="1:40">
      <c r="A275" s="84">
        <v>44468</v>
      </c>
      <c r="B275" s="4" t="s">
        <v>618</v>
      </c>
      <c r="H275" s="84">
        <v>44102</v>
      </c>
      <c r="I275" s="4" t="s">
        <v>620</v>
      </c>
      <c r="K275" s="2">
        <v>400</v>
      </c>
      <c r="M275" s="2" t="s">
        <v>1516</v>
      </c>
      <c r="O275" s="84">
        <v>43737</v>
      </c>
      <c r="P275" s="4" t="s">
        <v>603</v>
      </c>
      <c r="Q275" s="2" t="s">
        <v>721</v>
      </c>
      <c r="S275" s="2" t="s">
        <v>475</v>
      </c>
      <c r="T275" s="2" t="s">
        <v>1517</v>
      </c>
      <c r="W275" s="84">
        <v>43372</v>
      </c>
      <c r="X275" s="4" t="s">
        <v>602</v>
      </c>
      <c r="AE275" s="84">
        <v>43007</v>
      </c>
      <c r="AF275" s="4" t="s">
        <v>617</v>
      </c>
      <c r="AJ275" s="2" t="s">
        <v>1518</v>
      </c>
      <c r="AM275" s="84">
        <v>42672</v>
      </c>
      <c r="AN275" s="4" t="s">
        <v>602</v>
      </c>
    </row>
    <row r="276" ht="12.95" customHeight="1" spans="1:40">
      <c r="A276" s="84">
        <v>44469</v>
      </c>
      <c r="B276" s="4" t="s">
        <v>622</v>
      </c>
      <c r="H276" s="84">
        <v>44103</v>
      </c>
      <c r="I276" s="4" t="s">
        <v>619</v>
      </c>
      <c r="K276" s="2">
        <v>1000</v>
      </c>
      <c r="M276" s="2" t="s">
        <v>1519</v>
      </c>
      <c r="O276" s="84">
        <v>43738</v>
      </c>
      <c r="P276" s="4" t="s">
        <v>620</v>
      </c>
      <c r="T276" s="2" t="s">
        <v>744</v>
      </c>
      <c r="W276" s="84">
        <v>43373</v>
      </c>
      <c r="X276" s="4" t="s">
        <v>603</v>
      </c>
      <c r="AE276" s="84">
        <v>43008</v>
      </c>
      <c r="AF276" s="4" t="s">
        <v>602</v>
      </c>
      <c r="AJ276" s="2" t="s">
        <v>1520</v>
      </c>
      <c r="AM276" s="84">
        <v>42673</v>
      </c>
      <c r="AN276" s="4" t="s">
        <v>603</v>
      </c>
    </row>
    <row r="277" ht="12.95" customHeight="1" spans="1:40">
      <c r="A277" s="84">
        <v>44470</v>
      </c>
      <c r="B277" s="4" t="s">
        <v>617</v>
      </c>
      <c r="H277" s="84">
        <v>44104</v>
      </c>
      <c r="I277" s="4" t="s">
        <v>618</v>
      </c>
      <c r="K277" s="2">
        <v>500</v>
      </c>
      <c r="M277" s="2" t="s">
        <v>1521</v>
      </c>
      <c r="O277" s="84">
        <v>43739</v>
      </c>
      <c r="P277" s="4" t="s">
        <v>619</v>
      </c>
      <c r="W277" s="84">
        <v>43374</v>
      </c>
      <c r="X277" s="4" t="s">
        <v>620</v>
      </c>
      <c r="AE277" s="84">
        <v>43009</v>
      </c>
      <c r="AF277" s="4" t="s">
        <v>603</v>
      </c>
      <c r="AM277" s="84">
        <v>42674</v>
      </c>
      <c r="AN277" s="4" t="s">
        <v>620</v>
      </c>
    </row>
    <row r="278" ht="12.95" customHeight="1" spans="1:40">
      <c r="A278" s="84">
        <v>44471</v>
      </c>
      <c r="B278" s="4" t="s">
        <v>602</v>
      </c>
      <c r="H278" s="84">
        <v>44105</v>
      </c>
      <c r="I278" s="4" t="s">
        <v>622</v>
      </c>
      <c r="N278" s="2">
        <v>1</v>
      </c>
      <c r="O278" s="84">
        <v>43740</v>
      </c>
      <c r="P278" s="4" t="s">
        <v>618</v>
      </c>
      <c r="W278" s="84">
        <v>43375</v>
      </c>
      <c r="X278" s="4" t="s">
        <v>619</v>
      </c>
      <c r="AE278" s="84">
        <v>43010</v>
      </c>
      <c r="AF278" s="4" t="s">
        <v>620</v>
      </c>
      <c r="AM278" s="84">
        <v>42675</v>
      </c>
      <c r="AN278" s="4" t="s">
        <v>619</v>
      </c>
    </row>
    <row r="279" ht="12.95" customHeight="1" spans="1:44">
      <c r="A279" s="84">
        <v>44472</v>
      </c>
      <c r="B279" s="4" t="s">
        <v>603</v>
      </c>
      <c r="H279" s="84">
        <v>44106</v>
      </c>
      <c r="I279" s="4" t="s">
        <v>617</v>
      </c>
      <c r="N279" s="2">
        <v>1</v>
      </c>
      <c r="O279" s="84">
        <v>43741</v>
      </c>
      <c r="P279" s="4" t="s">
        <v>622</v>
      </c>
      <c r="W279" s="84">
        <v>43376</v>
      </c>
      <c r="X279" s="4" t="s">
        <v>618</v>
      </c>
      <c r="AE279" s="84">
        <v>43011</v>
      </c>
      <c r="AF279" s="4" t="s">
        <v>619</v>
      </c>
      <c r="AM279" s="84">
        <v>42676</v>
      </c>
      <c r="AN279" s="4" t="s">
        <v>618</v>
      </c>
      <c r="AR279" s="34">
        <f>1000*12*24*30</f>
        <v>8640000</v>
      </c>
    </row>
    <row r="280" ht="12.95" customHeight="1" spans="1:40">
      <c r="A280" s="84">
        <v>44473</v>
      </c>
      <c r="B280" s="4" t="s">
        <v>620</v>
      </c>
      <c r="H280" s="84">
        <v>44107</v>
      </c>
      <c r="I280" s="4" t="s">
        <v>602</v>
      </c>
      <c r="O280" s="84">
        <v>43742</v>
      </c>
      <c r="P280" s="4" t="s">
        <v>617</v>
      </c>
      <c r="W280" s="84">
        <v>43377</v>
      </c>
      <c r="X280" s="4" t="s">
        <v>622</v>
      </c>
      <c r="AE280" s="84">
        <v>43012</v>
      </c>
      <c r="AF280" s="4" t="s">
        <v>618</v>
      </c>
      <c r="AM280" s="84">
        <v>42677</v>
      </c>
      <c r="AN280" s="4" t="s">
        <v>622</v>
      </c>
    </row>
    <row r="281" ht="12.95" customHeight="1" spans="1:40">
      <c r="A281" s="84">
        <v>44474</v>
      </c>
      <c r="B281" s="4" t="s">
        <v>619</v>
      </c>
      <c r="H281" s="84">
        <v>44108</v>
      </c>
      <c r="I281" s="4" t="s">
        <v>603</v>
      </c>
      <c r="O281" s="84">
        <v>43743</v>
      </c>
      <c r="P281" s="4" t="s">
        <v>602</v>
      </c>
      <c r="W281" s="84">
        <v>43378</v>
      </c>
      <c r="X281" s="4" t="s">
        <v>617</v>
      </c>
      <c r="AE281" s="84">
        <v>43013</v>
      </c>
      <c r="AF281" s="4" t="s">
        <v>622</v>
      </c>
      <c r="AM281" s="84">
        <v>42678</v>
      </c>
      <c r="AN281" s="4" t="s">
        <v>617</v>
      </c>
    </row>
    <row r="282" ht="12.95" customHeight="1" spans="1:40">
      <c r="A282" s="84">
        <v>44475</v>
      </c>
      <c r="B282" s="4" t="s">
        <v>618</v>
      </c>
      <c r="H282" s="84">
        <v>44109</v>
      </c>
      <c r="I282" s="4" t="s">
        <v>620</v>
      </c>
      <c r="O282" s="84">
        <v>43744</v>
      </c>
      <c r="P282" s="4" t="s">
        <v>603</v>
      </c>
      <c r="W282" s="84">
        <v>43379</v>
      </c>
      <c r="X282" s="4" t="s">
        <v>602</v>
      </c>
      <c r="AE282" s="84">
        <v>43014</v>
      </c>
      <c r="AF282" s="4" t="s">
        <v>617</v>
      </c>
      <c r="AM282" s="84">
        <v>42679</v>
      </c>
      <c r="AN282" s="4" t="s">
        <v>602</v>
      </c>
    </row>
    <row r="283" ht="12.95" customHeight="1" spans="1:40">
      <c r="A283" s="84">
        <v>44476</v>
      </c>
      <c r="B283" s="4" t="s">
        <v>622</v>
      </c>
      <c r="H283" s="84">
        <v>44110</v>
      </c>
      <c r="I283" s="4" t="s">
        <v>619</v>
      </c>
      <c r="O283" s="84">
        <v>43745</v>
      </c>
      <c r="P283" s="4" t="s">
        <v>620</v>
      </c>
      <c r="W283" s="84">
        <v>43380</v>
      </c>
      <c r="X283" s="4" t="s">
        <v>603</v>
      </c>
      <c r="Z283" s="2">
        <v>6</v>
      </c>
      <c r="AB283" s="2" t="s">
        <v>1522</v>
      </c>
      <c r="AE283" s="84">
        <v>43015</v>
      </c>
      <c r="AF283" s="4" t="s">
        <v>602</v>
      </c>
      <c r="AM283" s="84">
        <v>42680</v>
      </c>
      <c r="AN283" s="4" t="s">
        <v>603</v>
      </c>
    </row>
    <row r="284" ht="12.95" customHeight="1" spans="1:40">
      <c r="A284" s="84">
        <v>44477</v>
      </c>
      <c r="B284" s="4" t="s">
        <v>617</v>
      </c>
      <c r="H284" s="84">
        <v>44111</v>
      </c>
      <c r="I284" s="4" t="s">
        <v>618</v>
      </c>
      <c r="O284" s="84">
        <v>43746</v>
      </c>
      <c r="P284" s="4" t="s">
        <v>619</v>
      </c>
      <c r="S284" s="2" t="s">
        <v>1335</v>
      </c>
      <c r="T284" s="2" t="s">
        <v>1523</v>
      </c>
      <c r="W284" s="84">
        <v>43381</v>
      </c>
      <c r="X284" s="4" t="s">
        <v>620</v>
      </c>
      <c r="AB284" s="2" t="s">
        <v>1524</v>
      </c>
      <c r="AE284" s="84">
        <v>43016</v>
      </c>
      <c r="AF284" s="4" t="s">
        <v>603</v>
      </c>
      <c r="AM284" s="84">
        <v>42681</v>
      </c>
      <c r="AN284" s="4" t="s">
        <v>620</v>
      </c>
    </row>
    <row r="285" ht="12.95" customHeight="1" spans="1:40">
      <c r="A285" s="84">
        <v>44478</v>
      </c>
      <c r="B285" s="4" t="s">
        <v>602</v>
      </c>
      <c r="H285" s="84">
        <v>44112</v>
      </c>
      <c r="I285" s="4" t="s">
        <v>622</v>
      </c>
      <c r="O285" s="84">
        <v>43747</v>
      </c>
      <c r="P285" s="4" t="s">
        <v>618</v>
      </c>
      <c r="S285" s="2" t="s">
        <v>1335</v>
      </c>
      <c r="T285" s="2" t="s">
        <v>1525</v>
      </c>
      <c r="W285" s="84">
        <v>43382</v>
      </c>
      <c r="X285" s="4" t="s">
        <v>619</v>
      </c>
      <c r="AB285" s="2" t="s">
        <v>1526</v>
      </c>
      <c r="AE285" s="84">
        <v>43017</v>
      </c>
      <c r="AF285" s="4" t="s">
        <v>620</v>
      </c>
      <c r="AJ285" s="2" t="s">
        <v>1527</v>
      </c>
      <c r="AM285" s="84">
        <v>42682</v>
      </c>
      <c r="AN285" s="4" t="s">
        <v>619</v>
      </c>
    </row>
    <row r="286" ht="12.95" customHeight="1" spans="1:43">
      <c r="A286" s="84">
        <v>44479</v>
      </c>
      <c r="B286" s="4" t="s">
        <v>603</v>
      </c>
      <c r="H286" s="84">
        <v>44113</v>
      </c>
      <c r="I286" s="4" t="s">
        <v>617</v>
      </c>
      <c r="K286" s="2">
        <v>0</v>
      </c>
      <c r="M286" s="2" t="s">
        <v>1521</v>
      </c>
      <c r="O286" s="84">
        <v>43748</v>
      </c>
      <c r="P286" s="4" t="s">
        <v>622</v>
      </c>
      <c r="S286" s="2" t="s">
        <v>515</v>
      </c>
      <c r="T286" s="2" t="s">
        <v>1528</v>
      </c>
      <c r="W286" s="84">
        <v>43383</v>
      </c>
      <c r="X286" s="4" t="s">
        <v>618</v>
      </c>
      <c r="AB286" s="2" t="s">
        <v>1529</v>
      </c>
      <c r="AE286" s="84">
        <v>43018</v>
      </c>
      <c r="AF286" s="4" t="s">
        <v>619</v>
      </c>
      <c r="AJ286" s="2" t="s">
        <v>1530</v>
      </c>
      <c r="AM286" s="84">
        <v>42683</v>
      </c>
      <c r="AN286" s="4" t="s">
        <v>618</v>
      </c>
      <c r="AQ286" s="81" t="s">
        <v>1531</v>
      </c>
    </row>
    <row r="287" ht="12.95" customHeight="1" spans="1:40">
      <c r="A287" s="84">
        <v>44480</v>
      </c>
      <c r="B287" s="4" t="s">
        <v>620</v>
      </c>
      <c r="H287" s="84">
        <v>44114</v>
      </c>
      <c r="I287" s="4" t="s">
        <v>602</v>
      </c>
      <c r="M287" s="2" t="s">
        <v>804</v>
      </c>
      <c r="O287" s="84">
        <v>43749</v>
      </c>
      <c r="P287" s="4" t="s">
        <v>617</v>
      </c>
      <c r="R287" s="2" t="s">
        <v>1532</v>
      </c>
      <c r="S287" s="2" t="s">
        <v>1335</v>
      </c>
      <c r="T287" s="2" t="s">
        <v>1533</v>
      </c>
      <c r="W287" s="84">
        <v>43384</v>
      </c>
      <c r="X287" s="4" t="s">
        <v>622</v>
      </c>
      <c r="AB287" s="2" t="s">
        <v>1534</v>
      </c>
      <c r="AE287" s="84">
        <v>43019</v>
      </c>
      <c r="AF287" s="4" t="s">
        <v>618</v>
      </c>
      <c r="AG287" s="2">
        <v>-7.5</v>
      </c>
      <c r="AJ287" s="2" t="s">
        <v>804</v>
      </c>
      <c r="AM287" s="84">
        <v>42684</v>
      </c>
      <c r="AN287" s="4" t="s">
        <v>622</v>
      </c>
    </row>
    <row r="288" ht="12.95" customHeight="1" spans="1:40">
      <c r="A288" s="84">
        <v>44481</v>
      </c>
      <c r="B288" s="4" t="s">
        <v>619</v>
      </c>
      <c r="H288" s="84">
        <v>44115</v>
      </c>
      <c r="I288" s="4" t="s">
        <v>603</v>
      </c>
      <c r="O288" s="84">
        <v>43750</v>
      </c>
      <c r="P288" s="4" t="s">
        <v>602</v>
      </c>
      <c r="S288" s="2" t="s">
        <v>1335</v>
      </c>
      <c r="T288" s="2" t="s">
        <v>1533</v>
      </c>
      <c r="W288" s="84">
        <v>43385</v>
      </c>
      <c r="X288" s="4" t="s">
        <v>617</v>
      </c>
      <c r="AB288" s="2" t="s">
        <v>1535</v>
      </c>
      <c r="AE288" s="84">
        <v>43020</v>
      </c>
      <c r="AF288" s="4" t="s">
        <v>622</v>
      </c>
      <c r="AJ288" s="2" t="s">
        <v>1536</v>
      </c>
      <c r="AM288" s="84">
        <v>42685</v>
      </c>
      <c r="AN288" s="4" t="s">
        <v>617</v>
      </c>
    </row>
    <row r="289" ht="12.95" customHeight="1" spans="1:40">
      <c r="A289" s="84">
        <v>44482</v>
      </c>
      <c r="B289" s="4" t="s">
        <v>618</v>
      </c>
      <c r="H289" s="84">
        <v>44116</v>
      </c>
      <c r="I289" s="4" t="s">
        <v>620</v>
      </c>
      <c r="K289" s="2">
        <v>0</v>
      </c>
      <c r="M289" s="2" t="s">
        <v>1537</v>
      </c>
      <c r="O289" s="84">
        <v>43751</v>
      </c>
      <c r="P289" s="4" t="s">
        <v>603</v>
      </c>
      <c r="W289" s="84">
        <v>43386</v>
      </c>
      <c r="X289" s="4" t="s">
        <v>602</v>
      </c>
      <c r="AE289" s="84">
        <v>43021</v>
      </c>
      <c r="AF289" s="4" t="s">
        <v>617</v>
      </c>
      <c r="AJ289" s="2" t="s">
        <v>1538</v>
      </c>
      <c r="AM289" s="84">
        <v>42686</v>
      </c>
      <c r="AN289" s="4" t="s">
        <v>602</v>
      </c>
    </row>
    <row r="290" ht="12.95" customHeight="1" spans="1:40">
      <c r="A290" s="84">
        <v>44483</v>
      </c>
      <c r="B290" s="4" t="s">
        <v>622</v>
      </c>
      <c r="H290" s="84">
        <v>44117</v>
      </c>
      <c r="I290" s="4" t="s">
        <v>619</v>
      </c>
      <c r="K290" s="2">
        <v>0</v>
      </c>
      <c r="M290" s="2" t="s">
        <v>1537</v>
      </c>
      <c r="O290" s="84">
        <v>43752</v>
      </c>
      <c r="P290" s="4" t="s">
        <v>620</v>
      </c>
      <c r="S290" s="2" t="s">
        <v>515</v>
      </c>
      <c r="T290" s="2" t="s">
        <v>1539</v>
      </c>
      <c r="W290" s="84">
        <v>43387</v>
      </c>
      <c r="X290" s="4" t="s">
        <v>603</v>
      </c>
      <c r="AE290" s="84">
        <v>43022</v>
      </c>
      <c r="AF290" s="4" t="s">
        <v>602</v>
      </c>
      <c r="AM290" s="84">
        <v>42687</v>
      </c>
      <c r="AN290" s="4" t="s">
        <v>603</v>
      </c>
    </row>
    <row r="291" ht="12.95" customHeight="1" spans="1:32">
      <c r="A291" s="84">
        <v>44484</v>
      </c>
      <c r="B291" s="4" t="s">
        <v>617</v>
      </c>
      <c r="H291" s="84">
        <v>44118</v>
      </c>
      <c r="I291" s="4" t="s">
        <v>618</v>
      </c>
      <c r="K291" s="2">
        <v>0</v>
      </c>
      <c r="M291" s="2" t="s">
        <v>1537</v>
      </c>
      <c r="O291" s="84">
        <v>43753</v>
      </c>
      <c r="P291" s="4" t="s">
        <v>619</v>
      </c>
      <c r="S291" s="2" t="s">
        <v>515</v>
      </c>
      <c r="T291" s="2" t="s">
        <v>1540</v>
      </c>
      <c r="W291" s="84">
        <v>43388</v>
      </c>
      <c r="X291" s="4" t="s">
        <v>620</v>
      </c>
      <c r="AB291" s="2" t="s">
        <v>1541</v>
      </c>
      <c r="AE291" s="84">
        <v>43023</v>
      </c>
      <c r="AF291" s="4" t="s">
        <v>603</v>
      </c>
    </row>
    <row r="292" ht="12.95" customHeight="1" spans="1:36">
      <c r="A292" s="84">
        <v>44485</v>
      </c>
      <c r="B292" s="4" t="s">
        <v>602</v>
      </c>
      <c r="H292" s="84">
        <v>44119</v>
      </c>
      <c r="I292" s="4" t="s">
        <v>622</v>
      </c>
      <c r="K292" s="2">
        <v>500</v>
      </c>
      <c r="M292" s="2" t="s">
        <v>1537</v>
      </c>
      <c r="O292" s="84">
        <v>43754</v>
      </c>
      <c r="P292" s="4" t="s">
        <v>618</v>
      </c>
      <c r="W292" s="84">
        <v>43389</v>
      </c>
      <c r="X292" s="4" t="s">
        <v>619</v>
      </c>
      <c r="AB292" s="2" t="s">
        <v>1542</v>
      </c>
      <c r="AE292" s="84">
        <v>43024</v>
      </c>
      <c r="AF292" s="4" t="s">
        <v>620</v>
      </c>
      <c r="AJ292" s="2" t="s">
        <v>1543</v>
      </c>
    </row>
    <row r="293" ht="12.95" customHeight="1" spans="1:36">
      <c r="A293" s="84">
        <v>44486</v>
      </c>
      <c r="B293" s="4" t="s">
        <v>603</v>
      </c>
      <c r="H293" s="84">
        <v>44120</v>
      </c>
      <c r="I293" s="4" t="s">
        <v>617</v>
      </c>
      <c r="K293" s="2">
        <v>500</v>
      </c>
      <c r="M293" s="2" t="s">
        <v>1537</v>
      </c>
      <c r="O293" s="84">
        <v>43755</v>
      </c>
      <c r="P293" s="4" t="s">
        <v>622</v>
      </c>
      <c r="T293" s="2" t="s">
        <v>804</v>
      </c>
      <c r="W293" s="84">
        <v>43390</v>
      </c>
      <c r="X293" s="4" t="s">
        <v>618</v>
      </c>
      <c r="AB293" s="2" t="s">
        <v>1544</v>
      </c>
      <c r="AE293" s="84">
        <v>43025</v>
      </c>
      <c r="AF293" s="4" t="s">
        <v>619</v>
      </c>
      <c r="AJ293" s="2" t="s">
        <v>1545</v>
      </c>
    </row>
    <row r="294" ht="12.95" customHeight="1" spans="1:36">
      <c r="A294" s="84">
        <v>44487</v>
      </c>
      <c r="B294" s="4" t="s">
        <v>620</v>
      </c>
      <c r="H294" s="84">
        <v>44121</v>
      </c>
      <c r="I294" s="4" t="s">
        <v>602</v>
      </c>
      <c r="O294" s="84">
        <v>43756</v>
      </c>
      <c r="P294" s="4" t="s">
        <v>617</v>
      </c>
      <c r="S294" s="2" t="s">
        <v>1335</v>
      </c>
      <c r="T294" s="2" t="s">
        <v>1546</v>
      </c>
      <c r="W294" s="84">
        <v>43391</v>
      </c>
      <c r="X294" s="4" t="s">
        <v>622</v>
      </c>
      <c r="AB294" s="2" t="s">
        <v>1547</v>
      </c>
      <c r="AE294" s="84">
        <v>43026</v>
      </c>
      <c r="AF294" s="4" t="s">
        <v>618</v>
      </c>
      <c r="AJ294" s="2" t="s">
        <v>1548</v>
      </c>
    </row>
    <row r="295" ht="12.95" customHeight="1" spans="1:36">
      <c r="A295" s="84">
        <v>44488</v>
      </c>
      <c r="B295" s="4" t="s">
        <v>619</v>
      </c>
      <c r="H295" s="84">
        <v>44122</v>
      </c>
      <c r="I295" s="4" t="s">
        <v>603</v>
      </c>
      <c r="O295" s="84">
        <v>43757</v>
      </c>
      <c r="P295" s="4" t="s">
        <v>602</v>
      </c>
      <c r="S295" s="2" t="s">
        <v>1335</v>
      </c>
      <c r="T295" s="2" t="s">
        <v>1549</v>
      </c>
      <c r="W295" s="84">
        <v>43392</v>
      </c>
      <c r="X295" s="4" t="s">
        <v>617</v>
      </c>
      <c r="AB295" s="2" t="s">
        <v>1550</v>
      </c>
      <c r="AE295" s="84">
        <v>43027</v>
      </c>
      <c r="AF295" s="4" t="s">
        <v>622</v>
      </c>
      <c r="AJ295" s="2" t="s">
        <v>1551</v>
      </c>
    </row>
    <row r="296" ht="12.95" customHeight="1" spans="1:36">
      <c r="A296" s="84">
        <v>44489</v>
      </c>
      <c r="B296" s="4" t="s">
        <v>618</v>
      </c>
      <c r="H296" s="84">
        <v>44123</v>
      </c>
      <c r="I296" s="4" t="s">
        <v>620</v>
      </c>
      <c r="K296" s="2">
        <v>500</v>
      </c>
      <c r="M296" s="2" t="s">
        <v>1552</v>
      </c>
      <c r="O296" s="84">
        <v>43758</v>
      </c>
      <c r="P296" s="4" t="s">
        <v>603</v>
      </c>
      <c r="W296" s="84">
        <v>43393</v>
      </c>
      <c r="X296" s="4" t="s">
        <v>602</v>
      </c>
      <c r="Z296" s="2">
        <v>6</v>
      </c>
      <c r="AB296" s="2" t="s">
        <v>1553</v>
      </c>
      <c r="AE296" s="84">
        <v>43028</v>
      </c>
      <c r="AF296" s="4" t="s">
        <v>617</v>
      </c>
      <c r="AJ296" s="2" t="s">
        <v>1554</v>
      </c>
    </row>
    <row r="297" ht="12.95" customHeight="1" spans="1:32">
      <c r="A297" s="84">
        <v>44490</v>
      </c>
      <c r="B297" s="4" t="s">
        <v>622</v>
      </c>
      <c r="H297" s="84">
        <v>44124</v>
      </c>
      <c r="I297" s="4" t="s">
        <v>619</v>
      </c>
      <c r="K297" s="2">
        <v>700</v>
      </c>
      <c r="O297" s="84">
        <v>43759</v>
      </c>
      <c r="P297" s="4" t="s">
        <v>620</v>
      </c>
      <c r="S297" s="2" t="s">
        <v>1335</v>
      </c>
      <c r="T297" s="2" t="s">
        <v>1555</v>
      </c>
      <c r="W297" s="84">
        <v>43394</v>
      </c>
      <c r="X297" s="4" t="s">
        <v>603</v>
      </c>
      <c r="AE297" s="84">
        <v>43029</v>
      </c>
      <c r="AF297" s="4" t="s">
        <v>602</v>
      </c>
    </row>
    <row r="298" ht="12.95" customHeight="1" spans="1:32">
      <c r="A298" s="84">
        <v>44491</v>
      </c>
      <c r="B298" s="4" t="s">
        <v>617</v>
      </c>
      <c r="H298" s="84">
        <v>44125</v>
      </c>
      <c r="I298" s="4" t="s">
        <v>618</v>
      </c>
      <c r="K298" s="2">
        <v>800</v>
      </c>
      <c r="M298" s="2" t="s">
        <v>1556</v>
      </c>
      <c r="O298" s="84">
        <v>43760</v>
      </c>
      <c r="P298" s="4" t="s">
        <v>619</v>
      </c>
      <c r="S298" s="2" t="s">
        <v>475</v>
      </c>
      <c r="T298" s="2" t="s">
        <v>1557</v>
      </c>
      <c r="W298" s="84">
        <v>43395</v>
      </c>
      <c r="X298" s="4" t="s">
        <v>620</v>
      </c>
      <c r="AB298" s="2" t="s">
        <v>1558</v>
      </c>
      <c r="AE298" s="84">
        <v>43030</v>
      </c>
      <c r="AF298" s="4" t="s">
        <v>603</v>
      </c>
    </row>
    <row r="299" ht="12.95" customHeight="1" spans="1:36">
      <c r="A299" s="84">
        <v>44492</v>
      </c>
      <c r="B299" s="4" t="s">
        <v>602</v>
      </c>
      <c r="H299" s="84">
        <v>44126</v>
      </c>
      <c r="I299" s="4" t="s">
        <v>622</v>
      </c>
      <c r="K299" s="2">
        <v>500</v>
      </c>
      <c r="M299" s="2" t="s">
        <v>1559</v>
      </c>
      <c r="O299" s="84">
        <v>43761</v>
      </c>
      <c r="P299" s="4" t="s">
        <v>618</v>
      </c>
      <c r="S299" s="2" t="s">
        <v>475</v>
      </c>
      <c r="T299" s="2" t="s">
        <v>1560</v>
      </c>
      <c r="W299" s="84">
        <v>43396</v>
      </c>
      <c r="X299" s="4" t="s">
        <v>619</v>
      </c>
      <c r="AB299" s="2" t="s">
        <v>1561</v>
      </c>
      <c r="AE299" s="84">
        <v>43031</v>
      </c>
      <c r="AF299" s="4" t="s">
        <v>620</v>
      </c>
      <c r="AJ299" s="2" t="s">
        <v>1562</v>
      </c>
    </row>
    <row r="300" ht="12.95" customHeight="1" spans="1:36">
      <c r="A300" s="84">
        <v>44493</v>
      </c>
      <c r="B300" s="4" t="s">
        <v>603</v>
      </c>
      <c r="H300" s="84">
        <v>44127</v>
      </c>
      <c r="I300" s="4" t="s">
        <v>617</v>
      </c>
      <c r="K300" s="2">
        <v>700</v>
      </c>
      <c r="M300" s="2" t="s">
        <v>1563</v>
      </c>
      <c r="O300" s="84">
        <v>43762</v>
      </c>
      <c r="P300" s="4" t="s">
        <v>622</v>
      </c>
      <c r="S300" s="2" t="s">
        <v>475</v>
      </c>
      <c r="T300" s="2" t="s">
        <v>1564</v>
      </c>
      <c r="W300" s="84">
        <v>43397</v>
      </c>
      <c r="X300" s="4" t="s">
        <v>618</v>
      </c>
      <c r="Z300" s="2">
        <v>4</v>
      </c>
      <c r="AA300" s="2" t="s">
        <v>721</v>
      </c>
      <c r="AB300" s="2" t="s">
        <v>1565</v>
      </c>
      <c r="AE300" s="84">
        <v>43032</v>
      </c>
      <c r="AF300" s="4" t="s">
        <v>619</v>
      </c>
      <c r="AJ300" s="2" t="s">
        <v>1566</v>
      </c>
    </row>
    <row r="301" ht="12.95" customHeight="1" spans="1:36">
      <c r="A301" s="84">
        <v>44494</v>
      </c>
      <c r="B301" s="4" t="s">
        <v>620</v>
      </c>
      <c r="H301" s="84">
        <v>44128</v>
      </c>
      <c r="I301" s="4" t="s">
        <v>602</v>
      </c>
      <c r="O301" s="84">
        <v>43763</v>
      </c>
      <c r="P301" s="4" t="s">
        <v>617</v>
      </c>
      <c r="S301" s="2" t="s">
        <v>1335</v>
      </c>
      <c r="T301" s="2" t="s">
        <v>1567</v>
      </c>
      <c r="W301" s="84">
        <v>43398</v>
      </c>
      <c r="X301" s="4" t="s">
        <v>622</v>
      </c>
      <c r="AB301" s="2" t="s">
        <v>1568</v>
      </c>
      <c r="AE301" s="84">
        <v>43033</v>
      </c>
      <c r="AF301" s="4" t="s">
        <v>618</v>
      </c>
      <c r="AJ301" s="2" t="s">
        <v>1569</v>
      </c>
    </row>
    <row r="302" ht="12.95" customHeight="1" spans="1:38">
      <c r="A302" s="84">
        <v>44495</v>
      </c>
      <c r="B302" s="4" t="s">
        <v>619</v>
      </c>
      <c r="H302" s="84">
        <v>44129</v>
      </c>
      <c r="I302" s="4" t="s">
        <v>603</v>
      </c>
      <c r="O302" s="84">
        <v>43764</v>
      </c>
      <c r="P302" s="4" t="s">
        <v>602</v>
      </c>
      <c r="W302" s="84">
        <v>43399</v>
      </c>
      <c r="X302" s="4" t="s">
        <v>617</v>
      </c>
      <c r="AB302" s="2" t="s">
        <v>1570</v>
      </c>
      <c r="AE302" s="84">
        <v>43034</v>
      </c>
      <c r="AF302" s="4" t="s">
        <v>622</v>
      </c>
      <c r="AJ302" s="2" t="s">
        <v>1571</v>
      </c>
      <c r="AL302" s="2">
        <f>2592000000/60/60/24</f>
        <v>30000</v>
      </c>
    </row>
    <row r="303" ht="12.95" customHeight="1" spans="1:36">
      <c r="A303" s="84">
        <v>44496</v>
      </c>
      <c r="B303" s="4" t="s">
        <v>618</v>
      </c>
      <c r="H303" s="84">
        <v>44130</v>
      </c>
      <c r="I303" s="4" t="s">
        <v>620</v>
      </c>
      <c r="K303" s="2">
        <v>500</v>
      </c>
      <c r="M303" s="2" t="s">
        <v>1572</v>
      </c>
      <c r="O303" s="84">
        <v>43765</v>
      </c>
      <c r="P303" s="4" t="s">
        <v>603</v>
      </c>
      <c r="W303" s="84">
        <v>43400</v>
      </c>
      <c r="X303" s="4" t="s">
        <v>602</v>
      </c>
      <c r="AE303" s="84">
        <v>43035</v>
      </c>
      <c r="AF303" s="4" t="s">
        <v>617</v>
      </c>
      <c r="AJ303" s="2" t="s">
        <v>1573</v>
      </c>
    </row>
    <row r="304" ht="12.95" customHeight="1" spans="1:32">
      <c r="A304" s="84">
        <v>44497</v>
      </c>
      <c r="B304" s="4" t="s">
        <v>622</v>
      </c>
      <c r="H304" s="84">
        <v>44131</v>
      </c>
      <c r="I304" s="4" t="s">
        <v>619</v>
      </c>
      <c r="K304" s="2">
        <v>1000</v>
      </c>
      <c r="M304" s="2" t="s">
        <v>1574</v>
      </c>
      <c r="O304" s="84">
        <v>43766</v>
      </c>
      <c r="P304" s="4" t="s">
        <v>620</v>
      </c>
      <c r="S304" s="2" t="s">
        <v>1306</v>
      </c>
      <c r="T304" s="2" t="s">
        <v>1575</v>
      </c>
      <c r="W304" s="84">
        <v>43401</v>
      </c>
      <c r="X304" s="4" t="s">
        <v>603</v>
      </c>
      <c r="AE304" s="84">
        <v>43036</v>
      </c>
      <c r="AF304" s="4" t="s">
        <v>602</v>
      </c>
    </row>
    <row r="305" ht="12.95" customHeight="1" spans="1:32">
      <c r="A305" s="84">
        <v>44498</v>
      </c>
      <c r="B305" s="4" t="s">
        <v>617</v>
      </c>
      <c r="H305" s="84">
        <v>44132</v>
      </c>
      <c r="I305" s="4" t="s">
        <v>618</v>
      </c>
      <c r="K305" s="2">
        <v>1200</v>
      </c>
      <c r="M305" s="2" t="s">
        <v>1576</v>
      </c>
      <c r="O305" s="84">
        <v>43767</v>
      </c>
      <c r="P305" s="4" t="s">
        <v>619</v>
      </c>
      <c r="S305" s="2" t="s">
        <v>1306</v>
      </c>
      <c r="T305" s="2" t="s">
        <v>1577</v>
      </c>
      <c r="W305" s="84">
        <v>43402</v>
      </c>
      <c r="X305" s="4" t="s">
        <v>620</v>
      </c>
      <c r="AB305" s="2" t="s">
        <v>1578</v>
      </c>
      <c r="AE305" s="84">
        <v>43037</v>
      </c>
      <c r="AF305" s="4" t="s">
        <v>603</v>
      </c>
    </row>
    <row r="306" ht="12.95" customHeight="1" spans="1:36">
      <c r="A306" s="84">
        <v>44499</v>
      </c>
      <c r="B306" s="4" t="s">
        <v>602</v>
      </c>
      <c r="H306" s="84">
        <v>44133</v>
      </c>
      <c r="I306" s="4" t="s">
        <v>622</v>
      </c>
      <c r="K306" s="2">
        <v>1400</v>
      </c>
      <c r="M306" s="2" t="s">
        <v>1579</v>
      </c>
      <c r="O306" s="84">
        <v>43768</v>
      </c>
      <c r="P306" s="4" t="s">
        <v>618</v>
      </c>
      <c r="S306" s="2" t="s">
        <v>1306</v>
      </c>
      <c r="T306" s="2" t="s">
        <v>1580</v>
      </c>
      <c r="W306" s="84">
        <v>43403</v>
      </c>
      <c r="X306" s="4" t="s">
        <v>619</v>
      </c>
      <c r="AB306" s="2" t="s">
        <v>1581</v>
      </c>
      <c r="AE306" s="84">
        <v>43038</v>
      </c>
      <c r="AF306" s="4" t="s">
        <v>620</v>
      </c>
      <c r="AJ306" s="2" t="s">
        <v>1582</v>
      </c>
    </row>
    <row r="307" ht="12.95" customHeight="1" spans="1:36">
      <c r="A307" s="84">
        <v>44500</v>
      </c>
      <c r="B307" s="4" t="s">
        <v>603</v>
      </c>
      <c r="H307" s="84">
        <v>44134</v>
      </c>
      <c r="I307" s="4" t="s">
        <v>617</v>
      </c>
      <c r="K307" s="2">
        <v>1000</v>
      </c>
      <c r="M307" s="2" t="s">
        <v>1583</v>
      </c>
      <c r="O307" s="84">
        <v>43769</v>
      </c>
      <c r="P307" s="4" t="s">
        <v>622</v>
      </c>
      <c r="S307" s="2" t="s">
        <v>1335</v>
      </c>
      <c r="T307" s="2" t="s">
        <v>1584</v>
      </c>
      <c r="W307" s="84">
        <v>43404</v>
      </c>
      <c r="X307" s="4" t="s">
        <v>618</v>
      </c>
      <c r="AB307" s="2" t="s">
        <v>1585</v>
      </c>
      <c r="AE307" s="84">
        <v>43039</v>
      </c>
      <c r="AF307" s="4" t="s">
        <v>619</v>
      </c>
      <c r="AJ307" s="2" t="s">
        <v>1586</v>
      </c>
    </row>
    <row r="308" ht="12.95" customHeight="1" spans="1:36">
      <c r="A308" s="84">
        <v>44501</v>
      </c>
      <c r="B308" s="4" t="s">
        <v>620</v>
      </c>
      <c r="H308" s="84">
        <v>44135</v>
      </c>
      <c r="I308" s="4" t="s">
        <v>602</v>
      </c>
      <c r="O308" s="84">
        <v>43770</v>
      </c>
      <c r="P308" s="4" t="s">
        <v>617</v>
      </c>
      <c r="S308" s="2" t="s">
        <v>1335</v>
      </c>
      <c r="T308" s="2" t="s">
        <v>1587</v>
      </c>
      <c r="W308" s="84">
        <v>43405</v>
      </c>
      <c r="X308" s="4" t="s">
        <v>622</v>
      </c>
      <c r="AB308" s="2" t="s">
        <v>1588</v>
      </c>
      <c r="AE308" s="84">
        <v>43040</v>
      </c>
      <c r="AF308" s="4" t="s">
        <v>618</v>
      </c>
      <c r="AG308" s="2">
        <v>-3.5</v>
      </c>
      <c r="AJ308" s="2" t="s">
        <v>1589</v>
      </c>
    </row>
    <row r="309" ht="12.95" customHeight="1" spans="1:36">
      <c r="A309" s="84">
        <v>44502</v>
      </c>
      <c r="B309" s="4" t="s">
        <v>619</v>
      </c>
      <c r="H309" s="84">
        <v>44136</v>
      </c>
      <c r="I309" s="4" t="s">
        <v>603</v>
      </c>
      <c r="O309" s="84">
        <v>43771</v>
      </c>
      <c r="P309" s="4" t="s">
        <v>602</v>
      </c>
      <c r="W309" s="84">
        <v>43406</v>
      </c>
      <c r="X309" s="4" t="s">
        <v>617</v>
      </c>
      <c r="AB309" s="2" t="s">
        <v>1590</v>
      </c>
      <c r="AE309" s="84">
        <v>43041</v>
      </c>
      <c r="AF309" s="4" t="s">
        <v>622</v>
      </c>
      <c r="AJ309" s="2" t="s">
        <v>1591</v>
      </c>
    </row>
    <row r="310" ht="12.95" customHeight="1" spans="1:36">
      <c r="A310" s="84">
        <v>44503</v>
      </c>
      <c r="B310" s="4" t="s">
        <v>618</v>
      </c>
      <c r="H310" s="84">
        <v>44137</v>
      </c>
      <c r="I310" s="4" t="s">
        <v>620</v>
      </c>
      <c r="K310" s="2">
        <v>500</v>
      </c>
      <c r="M310" s="2" t="s">
        <v>1592</v>
      </c>
      <c r="O310" s="84">
        <v>43772</v>
      </c>
      <c r="P310" s="4" t="s">
        <v>603</v>
      </c>
      <c r="W310" s="84">
        <v>43407</v>
      </c>
      <c r="X310" s="4" t="s">
        <v>602</v>
      </c>
      <c r="AE310" s="84">
        <v>43042</v>
      </c>
      <c r="AF310" s="4" t="s">
        <v>617</v>
      </c>
      <c r="AJ310" s="2" t="s">
        <v>1593</v>
      </c>
    </row>
    <row r="311" ht="12.95" customHeight="1" spans="1:32">
      <c r="A311" s="84">
        <v>44504</v>
      </c>
      <c r="B311" s="4" t="s">
        <v>622</v>
      </c>
      <c r="H311" s="84">
        <v>44138</v>
      </c>
      <c r="I311" s="4" t="s">
        <v>619</v>
      </c>
      <c r="K311" s="2">
        <v>1200</v>
      </c>
      <c r="M311" s="2" t="s">
        <v>1594</v>
      </c>
      <c r="O311" s="84">
        <v>43773</v>
      </c>
      <c r="P311" s="4" t="s">
        <v>620</v>
      </c>
      <c r="S311" s="2" t="s">
        <v>1335</v>
      </c>
      <c r="T311" s="2" t="s">
        <v>1595</v>
      </c>
      <c r="W311" s="84">
        <v>43408</v>
      </c>
      <c r="X311" s="4" t="s">
        <v>603</v>
      </c>
      <c r="AE311" s="84">
        <v>43043</v>
      </c>
      <c r="AF311" s="4" t="s">
        <v>602</v>
      </c>
    </row>
    <row r="312" ht="12.95" customHeight="1" spans="1:32">
      <c r="A312" s="84">
        <v>44505</v>
      </c>
      <c r="B312" s="4" t="s">
        <v>617</v>
      </c>
      <c r="H312" s="84">
        <v>44139</v>
      </c>
      <c r="I312" s="4" t="s">
        <v>618</v>
      </c>
      <c r="K312" s="2">
        <v>1200</v>
      </c>
      <c r="M312" s="2" t="s">
        <v>1596</v>
      </c>
      <c r="O312" s="84">
        <v>43774</v>
      </c>
      <c r="P312" s="4" t="s">
        <v>619</v>
      </c>
      <c r="S312" s="2" t="s">
        <v>1335</v>
      </c>
      <c r="T312" s="2" t="s">
        <v>1597</v>
      </c>
      <c r="W312" s="84">
        <v>43409</v>
      </c>
      <c r="X312" s="4" t="s">
        <v>620</v>
      </c>
      <c r="AB312" s="2" t="s">
        <v>1598</v>
      </c>
      <c r="AE312" s="84">
        <v>43044</v>
      </c>
      <c r="AF312" s="4" t="s">
        <v>603</v>
      </c>
    </row>
    <row r="313" ht="12.95" customHeight="1" spans="1:36">
      <c r="A313" s="84">
        <v>44506</v>
      </c>
      <c r="B313" s="4" t="s">
        <v>602</v>
      </c>
      <c r="H313" s="84">
        <v>44140</v>
      </c>
      <c r="I313" s="4" t="s">
        <v>622</v>
      </c>
      <c r="K313" s="2">
        <v>300</v>
      </c>
      <c r="M313" s="2" t="s">
        <v>1599</v>
      </c>
      <c r="O313" s="84">
        <v>43775</v>
      </c>
      <c r="P313" s="4" t="s">
        <v>618</v>
      </c>
      <c r="S313" s="2" t="s">
        <v>515</v>
      </c>
      <c r="T313" s="2" t="s">
        <v>1600</v>
      </c>
      <c r="W313" s="84">
        <v>43410</v>
      </c>
      <c r="X313" s="4" t="s">
        <v>619</v>
      </c>
      <c r="AB313" s="2" t="s">
        <v>1601</v>
      </c>
      <c r="AE313" s="84">
        <v>43045</v>
      </c>
      <c r="AF313" s="4" t="s">
        <v>620</v>
      </c>
      <c r="AJ313" s="2" t="s">
        <v>1602</v>
      </c>
    </row>
    <row r="314" ht="12.95" customHeight="1" spans="1:36">
      <c r="A314" s="84">
        <v>44507</v>
      </c>
      <c r="B314" s="4" t="s">
        <v>603</v>
      </c>
      <c r="H314" s="84">
        <v>44141</v>
      </c>
      <c r="I314" s="4" t="s">
        <v>617</v>
      </c>
      <c r="K314" s="2">
        <v>0</v>
      </c>
      <c r="M314" s="2" t="s">
        <v>1603</v>
      </c>
      <c r="O314" s="84">
        <v>43776</v>
      </c>
      <c r="P314" s="4" t="s">
        <v>622</v>
      </c>
      <c r="S314" s="2" t="s">
        <v>515</v>
      </c>
      <c r="T314" s="2" t="s">
        <v>1604</v>
      </c>
      <c r="W314" s="84">
        <v>43411</v>
      </c>
      <c r="X314" s="4" t="s">
        <v>618</v>
      </c>
      <c r="AB314" s="2" t="s">
        <v>1605</v>
      </c>
      <c r="AE314" s="84">
        <v>43046</v>
      </c>
      <c r="AF314" s="4" t="s">
        <v>619</v>
      </c>
      <c r="AJ314" s="2" t="s">
        <v>1606</v>
      </c>
    </row>
    <row r="315" ht="12.95" customHeight="1" spans="1:36">
      <c r="A315" s="84">
        <v>44508</v>
      </c>
      <c r="B315" s="4" t="s">
        <v>620</v>
      </c>
      <c r="H315" s="84">
        <v>44142</v>
      </c>
      <c r="I315" s="4" t="s">
        <v>602</v>
      </c>
      <c r="O315" s="84">
        <v>43777</v>
      </c>
      <c r="P315" s="4" t="s">
        <v>617</v>
      </c>
      <c r="S315" s="2" t="s">
        <v>515</v>
      </c>
      <c r="T315" s="2" t="s">
        <v>1607</v>
      </c>
      <c r="W315" s="84">
        <v>43412</v>
      </c>
      <c r="X315" s="4" t="s">
        <v>622</v>
      </c>
      <c r="AB315" s="2" t="s">
        <v>1608</v>
      </c>
      <c r="AE315" s="84">
        <v>43047</v>
      </c>
      <c r="AF315" s="4" t="s">
        <v>618</v>
      </c>
      <c r="AJ315" s="2" t="s">
        <v>1609</v>
      </c>
    </row>
    <row r="316" ht="12.95" customHeight="1" spans="1:36">
      <c r="A316" s="84">
        <v>44509</v>
      </c>
      <c r="B316" s="4" t="s">
        <v>619</v>
      </c>
      <c r="H316" s="84">
        <v>44143</v>
      </c>
      <c r="I316" s="4" t="s">
        <v>603</v>
      </c>
      <c r="O316" s="84">
        <v>43778</v>
      </c>
      <c r="P316" s="4" t="s">
        <v>602</v>
      </c>
      <c r="W316" s="84">
        <v>43413</v>
      </c>
      <c r="X316" s="4" t="s">
        <v>617</v>
      </c>
      <c r="AB316" s="2" t="s">
        <v>1610</v>
      </c>
      <c r="AE316" s="84">
        <v>43048</v>
      </c>
      <c r="AF316" s="4" t="s">
        <v>622</v>
      </c>
      <c r="AI316" s="2">
        <v>-5</v>
      </c>
      <c r="AJ316" s="2" t="s">
        <v>1611</v>
      </c>
    </row>
    <row r="317" ht="12.95" customHeight="1" spans="1:36">
      <c r="A317" s="84">
        <v>44510</v>
      </c>
      <c r="B317" s="4" t="s">
        <v>618</v>
      </c>
      <c r="H317" s="84">
        <v>44144</v>
      </c>
      <c r="I317" s="4" t="s">
        <v>620</v>
      </c>
      <c r="K317" s="2">
        <v>0</v>
      </c>
      <c r="M317" s="2" t="s">
        <v>1612</v>
      </c>
      <c r="O317" s="84">
        <v>43779</v>
      </c>
      <c r="P317" s="4" t="s">
        <v>603</v>
      </c>
      <c r="W317" s="84">
        <v>43414</v>
      </c>
      <c r="X317" s="4" t="s">
        <v>602</v>
      </c>
      <c r="AE317" s="84">
        <v>43049</v>
      </c>
      <c r="AF317" s="4" t="s">
        <v>617</v>
      </c>
      <c r="AJ317" s="2" t="s">
        <v>1613</v>
      </c>
    </row>
    <row r="318" ht="12.95" customHeight="1" spans="1:32">
      <c r="A318" s="84">
        <v>44511</v>
      </c>
      <c r="B318" s="4" t="s">
        <v>622</v>
      </c>
      <c r="H318" s="84">
        <v>44145</v>
      </c>
      <c r="I318" s="4" t="s">
        <v>619</v>
      </c>
      <c r="K318" s="2">
        <v>1200</v>
      </c>
      <c r="M318" s="2" t="s">
        <v>1614</v>
      </c>
      <c r="O318" s="84">
        <v>43780</v>
      </c>
      <c r="P318" s="4" t="s">
        <v>620</v>
      </c>
      <c r="S318" s="2" t="s">
        <v>1306</v>
      </c>
      <c r="T318" s="2" t="s">
        <v>1615</v>
      </c>
      <c r="W318" s="84">
        <v>43415</v>
      </c>
      <c r="X318" s="4" t="s">
        <v>603</v>
      </c>
      <c r="AE318" s="84">
        <v>43050</v>
      </c>
      <c r="AF318" s="4" t="s">
        <v>602</v>
      </c>
    </row>
    <row r="319" ht="12.95" customHeight="1" spans="1:32">
      <c r="A319" s="84">
        <v>44512</v>
      </c>
      <c r="B319" s="4" t="s">
        <v>617</v>
      </c>
      <c r="H319" s="84">
        <v>44146</v>
      </c>
      <c r="I319" s="4" t="s">
        <v>618</v>
      </c>
      <c r="K319" s="2">
        <v>1500</v>
      </c>
      <c r="M319" s="2" t="s">
        <v>1616</v>
      </c>
      <c r="O319" s="84">
        <v>43781</v>
      </c>
      <c r="P319" s="4" t="s">
        <v>619</v>
      </c>
      <c r="S319" s="2" t="s">
        <v>1306</v>
      </c>
      <c r="T319" s="2" t="s">
        <v>1617</v>
      </c>
      <c r="W319" s="84">
        <v>43416</v>
      </c>
      <c r="X319" s="4" t="s">
        <v>620</v>
      </c>
      <c r="AB319" s="2" t="s">
        <v>1618</v>
      </c>
      <c r="AE319" s="84">
        <v>43051</v>
      </c>
      <c r="AF319" s="4" t="s">
        <v>603</v>
      </c>
    </row>
    <row r="320" ht="12.95" customHeight="1" spans="1:36">
      <c r="A320" s="84">
        <v>44513</v>
      </c>
      <c r="B320" s="4" t="s">
        <v>602</v>
      </c>
      <c r="H320" s="84">
        <v>44147</v>
      </c>
      <c r="I320" s="4" t="s">
        <v>622</v>
      </c>
      <c r="K320" s="2">
        <v>1200</v>
      </c>
      <c r="M320" s="2" t="s">
        <v>1619</v>
      </c>
      <c r="O320" s="84">
        <v>43782</v>
      </c>
      <c r="P320" s="4" t="s">
        <v>618</v>
      </c>
      <c r="S320" s="2" t="s">
        <v>515</v>
      </c>
      <c r="T320" s="2" t="s">
        <v>1620</v>
      </c>
      <c r="U320" s="98"/>
      <c r="W320" s="84">
        <v>43417</v>
      </c>
      <c r="X320" s="4" t="s">
        <v>619</v>
      </c>
      <c r="AB320" s="2" t="s">
        <v>1621</v>
      </c>
      <c r="AC320" s="98"/>
      <c r="AE320" s="84">
        <v>43052</v>
      </c>
      <c r="AF320" s="4" t="s">
        <v>620</v>
      </c>
      <c r="AH320" s="2" t="s">
        <v>630</v>
      </c>
      <c r="AJ320" s="2" t="s">
        <v>1622</v>
      </c>
    </row>
    <row r="321" ht="12.95" customHeight="1" spans="1:36">
      <c r="A321" s="84">
        <v>44514</v>
      </c>
      <c r="B321" s="4" t="s">
        <v>603</v>
      </c>
      <c r="H321" s="84">
        <v>44148</v>
      </c>
      <c r="I321" s="4" t="s">
        <v>617</v>
      </c>
      <c r="K321" s="2">
        <v>1600</v>
      </c>
      <c r="M321" s="2" t="s">
        <v>1623</v>
      </c>
      <c r="O321" s="84">
        <v>43783</v>
      </c>
      <c r="P321" s="4" t="s">
        <v>622</v>
      </c>
      <c r="S321" s="2" t="s">
        <v>515</v>
      </c>
      <c r="T321" s="2" t="s">
        <v>1624</v>
      </c>
      <c r="U321" s="98"/>
      <c r="W321" s="84">
        <v>43418</v>
      </c>
      <c r="X321" s="4" t="s">
        <v>618</v>
      </c>
      <c r="AB321" s="98" t="s">
        <v>1625</v>
      </c>
      <c r="AC321" s="98"/>
      <c r="AE321" s="84">
        <v>43053</v>
      </c>
      <c r="AF321" s="4" t="s">
        <v>619</v>
      </c>
      <c r="AH321" s="2" t="s">
        <v>635</v>
      </c>
      <c r="AJ321" s="2" t="s">
        <v>1626</v>
      </c>
    </row>
    <row r="322" ht="12.95" customHeight="1" spans="1:36">
      <c r="A322" s="84">
        <v>44515</v>
      </c>
      <c r="B322" s="4" t="s">
        <v>620</v>
      </c>
      <c r="H322" s="84">
        <v>44149</v>
      </c>
      <c r="I322" s="4" t="s">
        <v>602</v>
      </c>
      <c r="M322" s="98"/>
      <c r="O322" s="84">
        <v>43784</v>
      </c>
      <c r="P322" s="4" t="s">
        <v>617</v>
      </c>
      <c r="S322" s="2" t="s">
        <v>515</v>
      </c>
      <c r="T322" s="98" t="s">
        <v>1627</v>
      </c>
      <c r="W322" s="84">
        <v>43419</v>
      </c>
      <c r="X322" s="4" t="s">
        <v>622</v>
      </c>
      <c r="AB322" s="98" t="s">
        <v>1628</v>
      </c>
      <c r="AE322" s="84">
        <v>43054</v>
      </c>
      <c r="AF322" s="4" t="s">
        <v>618</v>
      </c>
      <c r="AH322" s="2" t="s">
        <v>641</v>
      </c>
      <c r="AJ322" s="2" t="s">
        <v>1629</v>
      </c>
    </row>
    <row r="323" ht="12.95" customHeight="1" spans="1:36">
      <c r="A323" s="84">
        <v>44516</v>
      </c>
      <c r="B323" s="4" t="s">
        <v>619</v>
      </c>
      <c r="H323" s="84">
        <v>44150</v>
      </c>
      <c r="I323" s="4" t="s">
        <v>603</v>
      </c>
      <c r="M323" s="98"/>
      <c r="O323" s="84">
        <v>43785</v>
      </c>
      <c r="P323" s="4" t="s">
        <v>602</v>
      </c>
      <c r="T323" s="98"/>
      <c r="W323" s="84">
        <v>43420</v>
      </c>
      <c r="X323" s="4" t="s">
        <v>617</v>
      </c>
      <c r="AB323" s="98" t="s">
        <v>1630</v>
      </c>
      <c r="AE323" s="84">
        <v>43055</v>
      </c>
      <c r="AF323" s="4" t="s">
        <v>622</v>
      </c>
      <c r="AH323" s="2" t="s">
        <v>625</v>
      </c>
      <c r="AJ323" s="2" t="s">
        <v>1631</v>
      </c>
    </row>
    <row r="324" ht="12.95" customHeight="1" spans="1:36">
      <c r="A324" s="84">
        <v>44517</v>
      </c>
      <c r="B324" s="4" t="s">
        <v>618</v>
      </c>
      <c r="H324" s="84">
        <v>44151</v>
      </c>
      <c r="I324" s="4" t="s">
        <v>620</v>
      </c>
      <c r="K324" s="2">
        <v>0</v>
      </c>
      <c r="M324" s="2" t="s">
        <v>1632</v>
      </c>
      <c r="O324" s="84">
        <v>43786</v>
      </c>
      <c r="P324" s="4" t="s">
        <v>603</v>
      </c>
      <c r="W324" s="84">
        <v>43421</v>
      </c>
      <c r="X324" s="4" t="s">
        <v>602</v>
      </c>
      <c r="AE324" s="84">
        <v>43056</v>
      </c>
      <c r="AF324" s="4" t="s">
        <v>617</v>
      </c>
      <c r="AH324" s="2" t="s">
        <v>630</v>
      </c>
      <c r="AJ324" s="2" t="s">
        <v>1633</v>
      </c>
    </row>
    <row r="325" ht="12.95" customHeight="1" spans="1:32">
      <c r="A325" s="84">
        <v>44518</v>
      </c>
      <c r="B325" s="4" t="s">
        <v>622</v>
      </c>
      <c r="H325" s="84">
        <v>44152</v>
      </c>
      <c r="I325" s="4" t="s">
        <v>619</v>
      </c>
      <c r="K325" s="2">
        <v>500</v>
      </c>
      <c r="M325" s="79" t="s">
        <v>1634</v>
      </c>
      <c r="O325" s="84">
        <v>43787</v>
      </c>
      <c r="P325" s="4" t="s">
        <v>620</v>
      </c>
      <c r="S325" s="2" t="s">
        <v>515</v>
      </c>
      <c r="T325" s="2" t="s">
        <v>1635</v>
      </c>
      <c r="W325" s="84">
        <v>43422</v>
      </c>
      <c r="X325" s="4" t="s">
        <v>603</v>
      </c>
      <c r="AE325" s="84">
        <v>43057</v>
      </c>
      <c r="AF325" s="4" t="s">
        <v>602</v>
      </c>
    </row>
    <row r="326" ht="12.95" customHeight="1" spans="1:32">
      <c r="A326" s="84">
        <v>44519</v>
      </c>
      <c r="B326" s="4" t="s">
        <v>617</v>
      </c>
      <c r="H326" s="84">
        <v>44153</v>
      </c>
      <c r="I326" s="4" t="s">
        <v>618</v>
      </c>
      <c r="M326" s="2" t="s">
        <v>1636</v>
      </c>
      <c r="O326" s="84">
        <v>43788</v>
      </c>
      <c r="P326" s="4" t="s">
        <v>619</v>
      </c>
      <c r="S326" s="2" t="s">
        <v>1335</v>
      </c>
      <c r="T326" s="2" t="s">
        <v>1637</v>
      </c>
      <c r="W326" s="84">
        <v>43423</v>
      </c>
      <c r="X326" s="4" t="s">
        <v>620</v>
      </c>
      <c r="AB326" s="2" t="s">
        <v>1638</v>
      </c>
      <c r="AE326" s="84">
        <v>43058</v>
      </c>
      <c r="AF326" s="4" t="s">
        <v>603</v>
      </c>
    </row>
    <row r="327" ht="12.95" customHeight="1" spans="1:36">
      <c r="A327" s="84">
        <v>44520</v>
      </c>
      <c r="B327" s="4" t="s">
        <v>602</v>
      </c>
      <c r="H327" s="84">
        <v>44154</v>
      </c>
      <c r="I327" s="4" t="s">
        <v>622</v>
      </c>
      <c r="M327" s="2" t="s">
        <v>1639</v>
      </c>
      <c r="O327" s="84">
        <v>43789</v>
      </c>
      <c r="P327" s="4" t="s">
        <v>618</v>
      </c>
      <c r="S327" s="2" t="s">
        <v>1335</v>
      </c>
      <c r="T327" s="2" t="s">
        <v>1640</v>
      </c>
      <c r="W327" s="84">
        <v>43424</v>
      </c>
      <c r="X327" s="4" t="s">
        <v>619</v>
      </c>
      <c r="AB327" s="2" t="s">
        <v>1641</v>
      </c>
      <c r="AE327" s="84">
        <v>43059</v>
      </c>
      <c r="AF327" s="4" t="s">
        <v>620</v>
      </c>
      <c r="AH327" s="2" t="s">
        <v>635</v>
      </c>
      <c r="AJ327" s="2" t="s">
        <v>1642</v>
      </c>
    </row>
    <row r="328" ht="12.95" customHeight="1" spans="1:36">
      <c r="A328" s="84">
        <v>44521</v>
      </c>
      <c r="B328" s="4" t="s">
        <v>603</v>
      </c>
      <c r="H328" s="84">
        <v>44155</v>
      </c>
      <c r="I328" s="4" t="s">
        <v>617</v>
      </c>
      <c r="M328" s="2" t="s">
        <v>1643</v>
      </c>
      <c r="O328" s="84">
        <v>43790</v>
      </c>
      <c r="P328" s="4" t="s">
        <v>622</v>
      </c>
      <c r="T328" s="2" t="s">
        <v>1644</v>
      </c>
      <c r="W328" s="84">
        <v>43425</v>
      </c>
      <c r="X328" s="4" t="s">
        <v>618</v>
      </c>
      <c r="AB328" s="2" t="s">
        <v>1645</v>
      </c>
      <c r="AE328" s="84">
        <v>43060</v>
      </c>
      <c r="AF328" s="4" t="s">
        <v>619</v>
      </c>
      <c r="AH328" s="2" t="s">
        <v>641</v>
      </c>
      <c r="AJ328" s="2" t="s">
        <v>1646</v>
      </c>
    </row>
    <row r="329" ht="12.95" customHeight="1" spans="1:36">
      <c r="A329" s="84">
        <v>44522</v>
      </c>
      <c r="B329" s="4" t="s">
        <v>620</v>
      </c>
      <c r="H329" s="84">
        <v>44156</v>
      </c>
      <c r="I329" s="4" t="s">
        <v>602</v>
      </c>
      <c r="M329" s="2" t="s">
        <v>1647</v>
      </c>
      <c r="O329" s="84">
        <v>43791</v>
      </c>
      <c r="P329" s="4" t="s">
        <v>617</v>
      </c>
      <c r="T329" s="2" t="s">
        <v>1648</v>
      </c>
      <c r="W329" s="84">
        <v>43426</v>
      </c>
      <c r="X329" s="4" t="s">
        <v>622</v>
      </c>
      <c r="AB329" s="2" t="s">
        <v>1649</v>
      </c>
      <c r="AE329" s="84">
        <v>43061</v>
      </c>
      <c r="AF329" s="4" t="s">
        <v>618</v>
      </c>
      <c r="AH329" s="2" t="s">
        <v>625</v>
      </c>
      <c r="AJ329" s="2" t="s">
        <v>1650</v>
      </c>
    </row>
    <row r="330" ht="12.95" customHeight="1" spans="1:36">
      <c r="A330" s="84">
        <v>44523</v>
      </c>
      <c r="B330" s="4" t="s">
        <v>619</v>
      </c>
      <c r="H330" s="84">
        <v>44157</v>
      </c>
      <c r="I330" s="4" t="s">
        <v>603</v>
      </c>
      <c r="O330" s="84">
        <v>43792</v>
      </c>
      <c r="P330" s="4" t="s">
        <v>602</v>
      </c>
      <c r="W330" s="84">
        <v>43427</v>
      </c>
      <c r="X330" s="4" t="s">
        <v>617</v>
      </c>
      <c r="AB330" s="2" t="s">
        <v>1651</v>
      </c>
      <c r="AE330" s="84">
        <v>43062</v>
      </c>
      <c r="AF330" s="4" t="s">
        <v>622</v>
      </c>
      <c r="AH330" s="2" t="s">
        <v>630</v>
      </c>
      <c r="AJ330" s="2" t="s">
        <v>1652</v>
      </c>
    </row>
    <row r="331" ht="12.95" customHeight="1" spans="1:36">
      <c r="A331" s="84">
        <v>44524</v>
      </c>
      <c r="B331" s="4" t="s">
        <v>618</v>
      </c>
      <c r="H331" s="84">
        <v>44158</v>
      </c>
      <c r="I331" s="4" t="s">
        <v>620</v>
      </c>
      <c r="M331" s="2" t="s">
        <v>1653</v>
      </c>
      <c r="O331" s="84">
        <v>43793</v>
      </c>
      <c r="P331" s="4" t="s">
        <v>603</v>
      </c>
      <c r="W331" s="84">
        <v>43428</v>
      </c>
      <c r="X331" s="4" t="s">
        <v>602</v>
      </c>
      <c r="AE331" s="84">
        <v>43063</v>
      </c>
      <c r="AF331" s="4" t="s">
        <v>617</v>
      </c>
      <c r="AH331" s="2" t="s">
        <v>635</v>
      </c>
      <c r="AJ331" s="2" t="s">
        <v>1654</v>
      </c>
    </row>
    <row r="332" ht="12.95" customHeight="1" spans="1:32">
      <c r="A332" s="84">
        <v>44525</v>
      </c>
      <c r="B332" s="4" t="s">
        <v>622</v>
      </c>
      <c r="H332" s="84">
        <v>44159</v>
      </c>
      <c r="I332" s="4" t="s">
        <v>619</v>
      </c>
      <c r="M332" s="2" t="s">
        <v>1655</v>
      </c>
      <c r="O332" s="84">
        <v>43794</v>
      </c>
      <c r="P332" s="4" t="s">
        <v>620</v>
      </c>
      <c r="T332" s="2" t="s">
        <v>1644</v>
      </c>
      <c r="W332" s="84">
        <v>43429</v>
      </c>
      <c r="X332" s="4" t="s">
        <v>603</v>
      </c>
      <c r="AE332" s="84">
        <v>43064</v>
      </c>
      <c r="AF332" s="4" t="s">
        <v>602</v>
      </c>
    </row>
    <row r="333" ht="12.95" customHeight="1" spans="1:32">
      <c r="A333" s="84">
        <v>44526</v>
      </c>
      <c r="B333" s="4" t="s">
        <v>617</v>
      </c>
      <c r="H333" s="84">
        <v>44160</v>
      </c>
      <c r="I333" s="4" t="s">
        <v>618</v>
      </c>
      <c r="M333" s="2" t="s">
        <v>1656</v>
      </c>
      <c r="O333" s="84">
        <v>43795</v>
      </c>
      <c r="P333" s="4" t="s">
        <v>619</v>
      </c>
      <c r="T333" s="2" t="s">
        <v>1657</v>
      </c>
      <c r="W333" s="84">
        <v>43430</v>
      </c>
      <c r="X333" s="4" t="s">
        <v>620</v>
      </c>
      <c r="AB333" s="2" t="s">
        <v>1658</v>
      </c>
      <c r="AE333" s="84">
        <v>43065</v>
      </c>
      <c r="AF333" s="4" t="s">
        <v>603</v>
      </c>
    </row>
    <row r="334" ht="12.95" customHeight="1" spans="1:36">
      <c r="A334" s="84">
        <v>44527</v>
      </c>
      <c r="B334" s="4" t="s">
        <v>602</v>
      </c>
      <c r="H334" s="84">
        <v>44161</v>
      </c>
      <c r="I334" s="4" t="s">
        <v>622</v>
      </c>
      <c r="M334" s="2" t="s">
        <v>1656</v>
      </c>
      <c r="O334" s="84">
        <v>43796</v>
      </c>
      <c r="P334" s="4" t="s">
        <v>618</v>
      </c>
      <c r="T334" s="2" t="s">
        <v>1659</v>
      </c>
      <c r="W334" s="84">
        <v>43431</v>
      </c>
      <c r="X334" s="4" t="s">
        <v>619</v>
      </c>
      <c r="AB334" s="2" t="s">
        <v>1660</v>
      </c>
      <c r="AE334" s="84">
        <v>43066</v>
      </c>
      <c r="AF334" s="4" t="s">
        <v>620</v>
      </c>
      <c r="AH334" s="2" t="s">
        <v>641</v>
      </c>
      <c r="AJ334" s="2" t="s">
        <v>1661</v>
      </c>
    </row>
    <row r="335" ht="12.95" customHeight="1" spans="1:36">
      <c r="A335" s="84">
        <v>44528</v>
      </c>
      <c r="B335" s="4" t="s">
        <v>603</v>
      </c>
      <c r="H335" s="84">
        <v>44162</v>
      </c>
      <c r="I335" s="4" t="s">
        <v>617</v>
      </c>
      <c r="M335" s="2" t="s">
        <v>1662</v>
      </c>
      <c r="O335" s="84">
        <v>43797</v>
      </c>
      <c r="P335" s="4" t="s">
        <v>622</v>
      </c>
      <c r="T335" s="2" t="s">
        <v>1663</v>
      </c>
      <c r="W335" s="84">
        <v>43432</v>
      </c>
      <c r="X335" s="4" t="s">
        <v>618</v>
      </c>
      <c r="AB335" s="2" t="s">
        <v>1664</v>
      </c>
      <c r="AE335" s="84">
        <v>43067</v>
      </c>
      <c r="AF335" s="4" t="s">
        <v>619</v>
      </c>
      <c r="AH335" s="2" t="s">
        <v>625</v>
      </c>
      <c r="AJ335" s="2" t="s">
        <v>1665</v>
      </c>
    </row>
    <row r="336" ht="12.95" customHeight="1" spans="1:36">
      <c r="A336" s="84">
        <v>44529</v>
      </c>
      <c r="B336" s="4" t="s">
        <v>620</v>
      </c>
      <c r="H336" s="84">
        <v>44163</v>
      </c>
      <c r="I336" s="4" t="s">
        <v>602</v>
      </c>
      <c r="O336" s="84">
        <v>43798</v>
      </c>
      <c r="P336" s="4" t="s">
        <v>617</v>
      </c>
      <c r="T336" s="2" t="s">
        <v>1666</v>
      </c>
      <c r="W336" s="84">
        <v>43433</v>
      </c>
      <c r="X336" s="4" t="s">
        <v>622</v>
      </c>
      <c r="AB336" s="2" t="s">
        <v>1667</v>
      </c>
      <c r="AE336" s="84">
        <v>43068</v>
      </c>
      <c r="AF336" s="4" t="s">
        <v>618</v>
      </c>
      <c r="AH336" s="2" t="s">
        <v>630</v>
      </c>
      <c r="AJ336" s="2" t="s">
        <v>1668</v>
      </c>
    </row>
    <row r="337" ht="12.95" customHeight="1" spans="1:36">
      <c r="A337" s="84">
        <v>44530</v>
      </c>
      <c r="B337" s="4" t="s">
        <v>619</v>
      </c>
      <c r="H337" s="84">
        <v>44164</v>
      </c>
      <c r="I337" s="4" t="s">
        <v>603</v>
      </c>
      <c r="O337" s="84">
        <v>43799</v>
      </c>
      <c r="P337" s="4" t="s">
        <v>602</v>
      </c>
      <c r="W337" s="84">
        <v>43434</v>
      </c>
      <c r="X337" s="4" t="s">
        <v>617</v>
      </c>
      <c r="AB337" s="2" t="s">
        <v>1669</v>
      </c>
      <c r="AE337" s="84">
        <v>43069</v>
      </c>
      <c r="AF337" s="4" t="s">
        <v>622</v>
      </c>
      <c r="AH337" s="2" t="s">
        <v>635</v>
      </c>
      <c r="AJ337" s="2" t="s">
        <v>1670</v>
      </c>
    </row>
    <row r="338" ht="12.95" customHeight="1" spans="1:36">
      <c r="A338" s="84">
        <v>44531</v>
      </c>
      <c r="B338" s="4" t="s">
        <v>618</v>
      </c>
      <c r="H338" s="84">
        <v>44165</v>
      </c>
      <c r="I338" s="4" t="s">
        <v>620</v>
      </c>
      <c r="M338" s="2" t="s">
        <v>1671</v>
      </c>
      <c r="O338" s="84">
        <v>43800</v>
      </c>
      <c r="P338" s="4" t="s">
        <v>603</v>
      </c>
      <c r="W338" s="84">
        <v>43435</v>
      </c>
      <c r="X338" s="4" t="s">
        <v>602</v>
      </c>
      <c r="AB338" s="2" t="s">
        <v>1672</v>
      </c>
      <c r="AE338" s="84">
        <v>43070</v>
      </c>
      <c r="AF338" s="4" t="s">
        <v>617</v>
      </c>
      <c r="AH338" s="2" t="s">
        <v>641</v>
      </c>
      <c r="AJ338" s="2" t="s">
        <v>1673</v>
      </c>
    </row>
    <row r="339" ht="12.95" customHeight="1" spans="1:32">
      <c r="A339" s="84">
        <v>44532</v>
      </c>
      <c r="B339" s="4" t="s">
        <v>622</v>
      </c>
      <c r="H339" s="84">
        <v>44166</v>
      </c>
      <c r="I339" s="4" t="s">
        <v>619</v>
      </c>
      <c r="M339" s="2" t="s">
        <v>1674</v>
      </c>
      <c r="O339" s="84">
        <v>43801</v>
      </c>
      <c r="P339" s="4" t="s">
        <v>620</v>
      </c>
      <c r="T339" s="2" t="s">
        <v>1675</v>
      </c>
      <c r="W339" s="84">
        <v>43436</v>
      </c>
      <c r="X339" s="4" t="s">
        <v>603</v>
      </c>
      <c r="AE339" s="84">
        <v>43071</v>
      </c>
      <c r="AF339" s="4" t="s">
        <v>602</v>
      </c>
    </row>
    <row r="340" ht="12.95" customHeight="1" spans="1:32">
      <c r="A340" s="84">
        <v>44533</v>
      </c>
      <c r="B340" s="4" t="s">
        <v>617</v>
      </c>
      <c r="H340" s="84">
        <v>44167</v>
      </c>
      <c r="I340" s="4" t="s">
        <v>618</v>
      </c>
      <c r="M340" s="2" t="s">
        <v>1676</v>
      </c>
      <c r="O340" s="84">
        <v>43802</v>
      </c>
      <c r="P340" s="4" t="s">
        <v>619</v>
      </c>
      <c r="T340" s="2" t="s">
        <v>1677</v>
      </c>
      <c r="W340" s="84">
        <v>43437</v>
      </c>
      <c r="X340" s="4" t="s">
        <v>620</v>
      </c>
      <c r="AB340" s="2" t="s">
        <v>1678</v>
      </c>
      <c r="AE340" s="84">
        <v>43072</v>
      </c>
      <c r="AF340" s="4" t="s">
        <v>603</v>
      </c>
    </row>
    <row r="341" ht="12.95" customHeight="1" spans="1:36">
      <c r="A341" s="84">
        <v>44534</v>
      </c>
      <c r="B341" s="4" t="s">
        <v>602</v>
      </c>
      <c r="H341" s="84">
        <v>44168</v>
      </c>
      <c r="I341" s="4" t="s">
        <v>622</v>
      </c>
      <c r="M341" s="2" t="s">
        <v>1679</v>
      </c>
      <c r="O341" s="84">
        <v>43803</v>
      </c>
      <c r="P341" s="4" t="s">
        <v>618</v>
      </c>
      <c r="T341" s="2" t="s">
        <v>1680</v>
      </c>
      <c r="W341" s="84">
        <v>43438</v>
      </c>
      <c r="X341" s="4" t="s">
        <v>619</v>
      </c>
      <c r="AB341" s="2" t="s">
        <v>1681</v>
      </c>
      <c r="AE341" s="84">
        <v>43073</v>
      </c>
      <c r="AF341" s="4" t="s">
        <v>620</v>
      </c>
      <c r="AH341" s="2" t="s">
        <v>625</v>
      </c>
      <c r="AJ341" s="2" t="s">
        <v>1682</v>
      </c>
    </row>
    <row r="342" ht="12.95" customHeight="1" spans="1:36">
      <c r="A342" s="84">
        <v>44535</v>
      </c>
      <c r="B342" s="4" t="s">
        <v>603</v>
      </c>
      <c r="H342" s="84">
        <v>44169</v>
      </c>
      <c r="I342" s="4" t="s">
        <v>617</v>
      </c>
      <c r="M342" s="2" t="s">
        <v>754</v>
      </c>
      <c r="O342" s="84">
        <v>43804</v>
      </c>
      <c r="P342" s="4" t="s">
        <v>622</v>
      </c>
      <c r="T342" s="2" t="s">
        <v>1683</v>
      </c>
      <c r="W342" s="84">
        <v>43439</v>
      </c>
      <c r="X342" s="4" t="s">
        <v>618</v>
      </c>
      <c r="AB342" s="2" t="s">
        <v>1681</v>
      </c>
      <c r="AE342" s="84">
        <v>43074</v>
      </c>
      <c r="AF342" s="4" t="s">
        <v>619</v>
      </c>
      <c r="AH342" s="2" t="s">
        <v>630</v>
      </c>
      <c r="AJ342" s="2" t="s">
        <v>1684</v>
      </c>
    </row>
    <row r="343" ht="12.95" customHeight="1" spans="1:36">
      <c r="A343" s="84">
        <v>44536</v>
      </c>
      <c r="B343" s="4" t="s">
        <v>620</v>
      </c>
      <c r="H343" s="84">
        <v>44170</v>
      </c>
      <c r="I343" s="4" t="s">
        <v>602</v>
      </c>
      <c r="O343" s="84">
        <v>43805</v>
      </c>
      <c r="P343" s="4" t="s">
        <v>617</v>
      </c>
      <c r="T343" s="2" t="s">
        <v>1685</v>
      </c>
      <c r="W343" s="84">
        <v>43440</v>
      </c>
      <c r="X343" s="4" t="s">
        <v>622</v>
      </c>
      <c r="AB343" s="2" t="s">
        <v>1686</v>
      </c>
      <c r="AE343" s="84">
        <v>43075</v>
      </c>
      <c r="AF343" s="4" t="s">
        <v>618</v>
      </c>
      <c r="AH343" s="2" t="s">
        <v>635</v>
      </c>
      <c r="AJ343" s="2" t="s">
        <v>1687</v>
      </c>
    </row>
    <row r="344" ht="12.95" customHeight="1" spans="1:36">
      <c r="A344" s="84">
        <v>44537</v>
      </c>
      <c r="B344" s="4" t="s">
        <v>619</v>
      </c>
      <c r="H344" s="84">
        <v>44171</v>
      </c>
      <c r="I344" s="4" t="s">
        <v>603</v>
      </c>
      <c r="O344" s="84">
        <v>43806</v>
      </c>
      <c r="P344" s="4" t="s">
        <v>602</v>
      </c>
      <c r="W344" s="84">
        <v>43441</v>
      </c>
      <c r="X344" s="4" t="s">
        <v>617</v>
      </c>
      <c r="Z344" s="2">
        <v>3</v>
      </c>
      <c r="AB344" s="2" t="s">
        <v>1688</v>
      </c>
      <c r="AE344" s="84">
        <v>43076</v>
      </c>
      <c r="AF344" s="4" t="s">
        <v>622</v>
      </c>
      <c r="AH344" s="2" t="s">
        <v>641</v>
      </c>
      <c r="AJ344" s="2" t="s">
        <v>1689</v>
      </c>
    </row>
    <row r="345" ht="12.95" customHeight="1" spans="1:36">
      <c r="A345" s="84">
        <v>44538</v>
      </c>
      <c r="B345" s="4" t="s">
        <v>618</v>
      </c>
      <c r="H345" s="84">
        <v>44172</v>
      </c>
      <c r="I345" s="4" t="s">
        <v>620</v>
      </c>
      <c r="M345" s="2" t="s">
        <v>1690</v>
      </c>
      <c r="O345" s="84">
        <v>43807</v>
      </c>
      <c r="P345" s="4" t="s">
        <v>603</v>
      </c>
      <c r="W345" s="84">
        <v>43442</v>
      </c>
      <c r="X345" s="4" t="s">
        <v>602</v>
      </c>
      <c r="AE345" s="84">
        <v>43077</v>
      </c>
      <c r="AF345" s="4" t="s">
        <v>617</v>
      </c>
      <c r="AH345" s="2" t="s">
        <v>625</v>
      </c>
      <c r="AJ345" s="2" t="s">
        <v>1691</v>
      </c>
    </row>
    <row r="346" ht="12.95" customHeight="1" spans="1:36">
      <c r="A346" s="84">
        <v>44539</v>
      </c>
      <c r="B346" s="4" t="s">
        <v>622</v>
      </c>
      <c r="H346" s="84">
        <v>44173</v>
      </c>
      <c r="I346" s="4" t="s">
        <v>619</v>
      </c>
      <c r="M346" s="2" t="s">
        <v>1692</v>
      </c>
      <c r="O346" s="84">
        <v>43808</v>
      </c>
      <c r="P346" s="4" t="s">
        <v>620</v>
      </c>
      <c r="T346" s="2" t="s">
        <v>1693</v>
      </c>
      <c r="W346" s="84">
        <v>43443</v>
      </c>
      <c r="X346" s="4" t="s">
        <v>603</v>
      </c>
      <c r="AE346" s="84">
        <v>43078</v>
      </c>
      <c r="AF346" s="4" t="s">
        <v>602</v>
      </c>
      <c r="AJ346" s="2" t="s">
        <v>1694</v>
      </c>
    </row>
    <row r="347" ht="12.95" customHeight="1" spans="1:32">
      <c r="A347" s="84">
        <v>44540</v>
      </c>
      <c r="B347" s="4" t="s">
        <v>617</v>
      </c>
      <c r="H347" s="84">
        <v>44174</v>
      </c>
      <c r="I347" s="4" t="s">
        <v>618</v>
      </c>
      <c r="M347" s="2" t="s">
        <v>1695</v>
      </c>
      <c r="O347" s="84">
        <v>43809</v>
      </c>
      <c r="P347" s="4" t="s">
        <v>619</v>
      </c>
      <c r="T347" s="2" t="s">
        <v>1696</v>
      </c>
      <c r="W347" s="84">
        <v>43444</v>
      </c>
      <c r="X347" s="4" t="s">
        <v>620</v>
      </c>
      <c r="AB347" s="2" t="s">
        <v>1697</v>
      </c>
      <c r="AE347" s="84">
        <v>43079</v>
      </c>
      <c r="AF347" s="4" t="s">
        <v>603</v>
      </c>
    </row>
    <row r="348" ht="12.95" customHeight="1" spans="1:36">
      <c r="A348" s="84">
        <v>44541</v>
      </c>
      <c r="B348" s="4" t="s">
        <v>602</v>
      </c>
      <c r="H348" s="84">
        <v>44175</v>
      </c>
      <c r="I348" s="4" t="s">
        <v>622</v>
      </c>
      <c r="O348" s="84">
        <v>43810</v>
      </c>
      <c r="P348" s="4" t="s">
        <v>618</v>
      </c>
      <c r="T348" s="2" t="s">
        <v>1698</v>
      </c>
      <c r="W348" s="84">
        <v>43445</v>
      </c>
      <c r="X348" s="4" t="s">
        <v>619</v>
      </c>
      <c r="AB348" s="2" t="s">
        <v>1699</v>
      </c>
      <c r="AE348" s="84">
        <v>43080</v>
      </c>
      <c r="AF348" s="4" t="s">
        <v>620</v>
      </c>
      <c r="AH348" s="2" t="s">
        <v>630</v>
      </c>
      <c r="AJ348" s="2" t="s">
        <v>1700</v>
      </c>
    </row>
    <row r="349" ht="12.95" customHeight="1" spans="1:36">
      <c r="A349" s="84">
        <v>44542</v>
      </c>
      <c r="B349" s="4" t="s">
        <v>603</v>
      </c>
      <c r="H349" s="84">
        <v>44176</v>
      </c>
      <c r="I349" s="4" t="s">
        <v>617</v>
      </c>
      <c r="L349" s="2" t="s">
        <v>1701</v>
      </c>
      <c r="M349" s="2" t="s">
        <v>1702</v>
      </c>
      <c r="O349" s="84">
        <v>43811</v>
      </c>
      <c r="P349" s="4" t="s">
        <v>622</v>
      </c>
      <c r="T349" s="2" t="s">
        <v>1703</v>
      </c>
      <c r="W349" s="84">
        <v>43446</v>
      </c>
      <c r="X349" s="4" t="s">
        <v>618</v>
      </c>
      <c r="AB349" s="2" t="s">
        <v>1704</v>
      </c>
      <c r="AE349" s="84">
        <v>43081</v>
      </c>
      <c r="AF349" s="4" t="s">
        <v>619</v>
      </c>
      <c r="AH349" s="2" t="s">
        <v>635</v>
      </c>
      <c r="AJ349" s="2" t="s">
        <v>1705</v>
      </c>
    </row>
    <row r="350" ht="12.95" customHeight="1" spans="1:36">
      <c r="A350" s="84">
        <v>44543</v>
      </c>
      <c r="B350" s="4" t="s">
        <v>620</v>
      </c>
      <c r="H350" s="84">
        <v>44177</v>
      </c>
      <c r="I350" s="4" t="s">
        <v>602</v>
      </c>
      <c r="O350" s="84">
        <v>43812</v>
      </c>
      <c r="P350" s="4" t="s">
        <v>617</v>
      </c>
      <c r="T350" s="2" t="s">
        <v>804</v>
      </c>
      <c r="W350" s="84">
        <v>43447</v>
      </c>
      <c r="X350" s="4" t="s">
        <v>622</v>
      </c>
      <c r="AB350" s="2" t="s">
        <v>1706</v>
      </c>
      <c r="AE350" s="84">
        <v>43082</v>
      </c>
      <c r="AF350" s="4" t="s">
        <v>618</v>
      </c>
      <c r="AH350" s="2" t="s">
        <v>641</v>
      </c>
      <c r="AJ350" s="2" t="s">
        <v>1707</v>
      </c>
    </row>
    <row r="351" ht="12.95" customHeight="1" spans="1:36">
      <c r="A351" s="84">
        <v>44544</v>
      </c>
      <c r="B351" s="4" t="s">
        <v>619</v>
      </c>
      <c r="H351" s="84">
        <v>44178</v>
      </c>
      <c r="I351" s="4" t="s">
        <v>603</v>
      </c>
      <c r="O351" s="84">
        <v>43813</v>
      </c>
      <c r="P351" s="4" t="s">
        <v>602</v>
      </c>
      <c r="W351" s="84">
        <v>43448</v>
      </c>
      <c r="X351" s="4" t="s">
        <v>617</v>
      </c>
      <c r="AB351" s="2" t="s">
        <v>1708</v>
      </c>
      <c r="AE351" s="84">
        <v>43083</v>
      </c>
      <c r="AF351" s="4" t="s">
        <v>622</v>
      </c>
      <c r="AH351" s="2" t="s">
        <v>625</v>
      </c>
      <c r="AJ351" s="2" t="s">
        <v>1709</v>
      </c>
    </row>
    <row r="352" ht="12.95" customHeight="1" spans="1:36">
      <c r="A352" s="84">
        <v>44545</v>
      </c>
      <c r="B352" s="4" t="s">
        <v>618</v>
      </c>
      <c r="H352" s="84">
        <v>44179</v>
      </c>
      <c r="I352" s="4" t="s">
        <v>620</v>
      </c>
      <c r="M352" s="2" t="s">
        <v>1710</v>
      </c>
      <c r="O352" s="84">
        <v>43814</v>
      </c>
      <c r="P352" s="4" t="s">
        <v>603</v>
      </c>
      <c r="W352" s="84">
        <v>43449</v>
      </c>
      <c r="X352" s="4" t="s">
        <v>602</v>
      </c>
      <c r="Z352" s="2">
        <v>3</v>
      </c>
      <c r="AB352" s="2" t="s">
        <v>1711</v>
      </c>
      <c r="AE352" s="84">
        <v>43084</v>
      </c>
      <c r="AF352" s="4" t="s">
        <v>617</v>
      </c>
      <c r="AH352" s="2" t="s">
        <v>630</v>
      </c>
      <c r="AJ352" s="2" t="s">
        <v>1712</v>
      </c>
    </row>
    <row r="353" ht="12.95" customHeight="1" spans="1:32">
      <c r="A353" s="84">
        <v>44546</v>
      </c>
      <c r="B353" s="4" t="s">
        <v>622</v>
      </c>
      <c r="H353" s="84">
        <v>44180</v>
      </c>
      <c r="I353" s="4" t="s">
        <v>619</v>
      </c>
      <c r="M353" s="2" t="s">
        <v>1713</v>
      </c>
      <c r="O353" s="84">
        <v>43815</v>
      </c>
      <c r="P353" s="4" t="s">
        <v>620</v>
      </c>
      <c r="T353" s="2" t="s">
        <v>1714</v>
      </c>
      <c r="W353" s="84">
        <v>43450</v>
      </c>
      <c r="X353" s="4" t="s">
        <v>603</v>
      </c>
      <c r="AE353" s="84">
        <v>43085</v>
      </c>
      <c r="AF353" s="4" t="s">
        <v>602</v>
      </c>
    </row>
    <row r="354" ht="12.95" customHeight="1" spans="1:32">
      <c r="A354" s="84">
        <v>44547</v>
      </c>
      <c r="B354" s="4" t="s">
        <v>617</v>
      </c>
      <c r="H354" s="84">
        <v>44181</v>
      </c>
      <c r="I354" s="4" t="s">
        <v>618</v>
      </c>
      <c r="M354" s="2" t="s">
        <v>1715</v>
      </c>
      <c r="O354" s="84">
        <v>43816</v>
      </c>
      <c r="P354" s="4" t="s">
        <v>619</v>
      </c>
      <c r="T354" s="2" t="s">
        <v>1716</v>
      </c>
      <c r="W354" s="84">
        <v>43451</v>
      </c>
      <c r="X354" s="4" t="s">
        <v>620</v>
      </c>
      <c r="AB354" s="2" t="s">
        <v>1717</v>
      </c>
      <c r="AE354" s="84">
        <v>43086</v>
      </c>
      <c r="AF354" s="4" t="s">
        <v>603</v>
      </c>
    </row>
    <row r="355" ht="12.95" customHeight="1" spans="1:37">
      <c r="A355" s="84">
        <v>44548</v>
      </c>
      <c r="B355" s="4" t="s">
        <v>602</v>
      </c>
      <c r="H355" s="84">
        <v>44182</v>
      </c>
      <c r="I355" s="4" t="s">
        <v>622</v>
      </c>
      <c r="M355" s="2" t="s">
        <v>1718</v>
      </c>
      <c r="O355" s="84">
        <v>43817</v>
      </c>
      <c r="P355" s="4" t="s">
        <v>618</v>
      </c>
      <c r="T355" s="2" t="s">
        <v>1719</v>
      </c>
      <c r="W355" s="84">
        <v>43452</v>
      </c>
      <c r="X355" s="4" t="s">
        <v>619</v>
      </c>
      <c r="Z355" s="2">
        <v>3</v>
      </c>
      <c r="AB355" s="2" t="s">
        <v>1720</v>
      </c>
      <c r="AD355" s="79"/>
      <c r="AE355" s="84">
        <v>43087</v>
      </c>
      <c r="AF355" s="4" t="s">
        <v>620</v>
      </c>
      <c r="AH355" s="2" t="s">
        <v>635</v>
      </c>
      <c r="AJ355" s="2" t="s">
        <v>1721</v>
      </c>
      <c r="AK355" s="79"/>
    </row>
    <row r="356" ht="12.95" customHeight="1" spans="1:36">
      <c r="A356" s="84">
        <v>44549</v>
      </c>
      <c r="B356" s="4" t="s">
        <v>603</v>
      </c>
      <c r="H356" s="84">
        <v>44183</v>
      </c>
      <c r="I356" s="4" t="s">
        <v>617</v>
      </c>
      <c r="M356" s="2" t="s">
        <v>1722</v>
      </c>
      <c r="O356" s="84">
        <v>43818</v>
      </c>
      <c r="P356" s="4" t="s">
        <v>622</v>
      </c>
      <c r="T356" s="2" t="s">
        <v>1723</v>
      </c>
      <c r="W356" s="84">
        <v>43453</v>
      </c>
      <c r="X356" s="4" t="s">
        <v>618</v>
      </c>
      <c r="AB356" s="2" t="s">
        <v>1724</v>
      </c>
      <c r="AE356" s="84">
        <v>43088</v>
      </c>
      <c r="AF356" s="4" t="s">
        <v>619</v>
      </c>
      <c r="AH356" s="2" t="s">
        <v>641</v>
      </c>
      <c r="AJ356" s="2" t="s">
        <v>1725</v>
      </c>
    </row>
    <row r="357" ht="12.95" customHeight="1" spans="1:36">
      <c r="A357" s="84">
        <v>44550</v>
      </c>
      <c r="B357" s="4" t="s">
        <v>620</v>
      </c>
      <c r="H357" s="84">
        <v>44184</v>
      </c>
      <c r="I357" s="4" t="s">
        <v>602</v>
      </c>
      <c r="O357" s="84">
        <v>43819</v>
      </c>
      <c r="P357" s="4" t="s">
        <v>617</v>
      </c>
      <c r="T357" s="2" t="s">
        <v>1726</v>
      </c>
      <c r="W357" s="84">
        <v>43454</v>
      </c>
      <c r="X357" s="4" t="s">
        <v>622</v>
      </c>
      <c r="AB357" s="2" t="s">
        <v>1727</v>
      </c>
      <c r="AE357" s="84">
        <v>43089</v>
      </c>
      <c r="AF357" s="4" t="s">
        <v>618</v>
      </c>
      <c r="AH357" s="2" t="s">
        <v>625</v>
      </c>
      <c r="AJ357" s="2" t="s">
        <v>1728</v>
      </c>
    </row>
    <row r="358" ht="12.95" customHeight="1" spans="1:36">
      <c r="A358" s="84">
        <v>44551</v>
      </c>
      <c r="B358" s="4" t="s">
        <v>619</v>
      </c>
      <c r="H358" s="84">
        <v>44185</v>
      </c>
      <c r="I358" s="4" t="s">
        <v>603</v>
      </c>
      <c r="O358" s="84">
        <v>43820</v>
      </c>
      <c r="P358" s="4" t="s">
        <v>602</v>
      </c>
      <c r="W358" s="84">
        <v>43455</v>
      </c>
      <c r="X358" s="4" t="s">
        <v>617</v>
      </c>
      <c r="AB358" s="2" t="s">
        <v>1729</v>
      </c>
      <c r="AE358" s="84">
        <v>43090</v>
      </c>
      <c r="AF358" s="4" t="s">
        <v>622</v>
      </c>
      <c r="AH358" s="2" t="s">
        <v>630</v>
      </c>
      <c r="AJ358" s="2" t="s">
        <v>1730</v>
      </c>
    </row>
    <row r="359" ht="12.95" customHeight="1" spans="1:36">
      <c r="A359" s="84">
        <v>44552</v>
      </c>
      <c r="B359" s="4" t="s">
        <v>618</v>
      </c>
      <c r="H359" s="84">
        <v>44186</v>
      </c>
      <c r="I359" s="4" t="s">
        <v>620</v>
      </c>
      <c r="M359" s="2" t="s">
        <v>1731</v>
      </c>
      <c r="O359" s="84">
        <v>43821</v>
      </c>
      <c r="P359" s="4" t="s">
        <v>603</v>
      </c>
      <c r="W359" s="84">
        <v>43456</v>
      </c>
      <c r="X359" s="4" t="s">
        <v>602</v>
      </c>
      <c r="AE359" s="84">
        <v>43091</v>
      </c>
      <c r="AF359" s="4" t="s">
        <v>617</v>
      </c>
      <c r="AH359" s="2" t="s">
        <v>635</v>
      </c>
      <c r="AJ359" s="2" t="s">
        <v>1732</v>
      </c>
    </row>
    <row r="360" ht="12.95" customHeight="1" spans="1:32">
      <c r="A360" s="84">
        <v>44553</v>
      </c>
      <c r="B360" s="4" t="s">
        <v>622</v>
      </c>
      <c r="H360" s="84">
        <v>44187</v>
      </c>
      <c r="I360" s="4" t="s">
        <v>619</v>
      </c>
      <c r="M360" s="2" t="s">
        <v>1733</v>
      </c>
      <c r="O360" s="84">
        <v>43822</v>
      </c>
      <c r="P360" s="4" t="s">
        <v>620</v>
      </c>
      <c r="T360" s="2" t="s">
        <v>1734</v>
      </c>
      <c r="W360" s="84">
        <v>43457</v>
      </c>
      <c r="X360" s="4" t="s">
        <v>603</v>
      </c>
      <c r="AE360" s="84">
        <v>43092</v>
      </c>
      <c r="AF360" s="4" t="s">
        <v>602</v>
      </c>
    </row>
    <row r="361" ht="12.95" customHeight="1" spans="1:32">
      <c r="A361" s="84">
        <v>44554</v>
      </c>
      <c r="B361" s="4" t="s">
        <v>617</v>
      </c>
      <c r="H361" s="84">
        <v>44188</v>
      </c>
      <c r="I361" s="4" t="s">
        <v>618</v>
      </c>
      <c r="M361" s="2" t="s">
        <v>1735</v>
      </c>
      <c r="O361" s="84">
        <v>43823</v>
      </c>
      <c r="P361" s="4" t="s">
        <v>619</v>
      </c>
      <c r="T361" s="2" t="s">
        <v>1736</v>
      </c>
      <c r="W361" s="84">
        <v>43458</v>
      </c>
      <c r="X361" s="4" t="s">
        <v>620</v>
      </c>
      <c r="AB361" s="2" t="s">
        <v>1737</v>
      </c>
      <c r="AE361" s="84">
        <v>43093</v>
      </c>
      <c r="AF361" s="4" t="s">
        <v>603</v>
      </c>
    </row>
    <row r="362" ht="12.95" customHeight="1" spans="1:37">
      <c r="A362" s="84">
        <v>44555</v>
      </c>
      <c r="B362" s="4" t="s">
        <v>602</v>
      </c>
      <c r="H362" s="84">
        <v>44189</v>
      </c>
      <c r="I362" s="4" t="s">
        <v>622</v>
      </c>
      <c r="M362" s="2" t="s">
        <v>1738</v>
      </c>
      <c r="O362" s="84">
        <v>43824</v>
      </c>
      <c r="P362" s="4" t="s">
        <v>618</v>
      </c>
      <c r="T362" s="2" t="s">
        <v>1739</v>
      </c>
      <c r="W362" s="84">
        <v>43459</v>
      </c>
      <c r="X362" s="4" t="s">
        <v>619</v>
      </c>
      <c r="AB362" s="2" t="s">
        <v>1740</v>
      </c>
      <c r="AE362" s="84">
        <v>43094</v>
      </c>
      <c r="AF362" s="4" t="s">
        <v>620</v>
      </c>
      <c r="AH362" s="2" t="s">
        <v>641</v>
      </c>
      <c r="AJ362" s="2" t="s">
        <v>1741</v>
      </c>
      <c r="AK362" s="2" t="s">
        <v>1742</v>
      </c>
    </row>
    <row r="363" ht="12.95" customHeight="1" spans="1:37">
      <c r="A363" s="84">
        <v>44556</v>
      </c>
      <c r="B363" s="4" t="s">
        <v>603</v>
      </c>
      <c r="H363" s="84">
        <v>44190</v>
      </c>
      <c r="I363" s="4" t="s">
        <v>617</v>
      </c>
      <c r="M363" s="2" t="s">
        <v>1743</v>
      </c>
      <c r="O363" s="84">
        <v>43825</v>
      </c>
      <c r="P363" s="4" t="s">
        <v>622</v>
      </c>
      <c r="T363" s="2" t="s">
        <v>1744</v>
      </c>
      <c r="W363" s="84">
        <v>43460</v>
      </c>
      <c r="X363" s="4" t="s">
        <v>618</v>
      </c>
      <c r="AB363" s="2" t="s">
        <v>1745</v>
      </c>
      <c r="AE363" s="84">
        <v>43095</v>
      </c>
      <c r="AF363" s="4" t="s">
        <v>619</v>
      </c>
      <c r="AH363" s="2" t="s">
        <v>625</v>
      </c>
      <c r="AJ363" s="2" t="s">
        <v>1746</v>
      </c>
      <c r="AK363" s="2" t="s">
        <v>1747</v>
      </c>
    </row>
    <row r="364" ht="12.95" customHeight="1" spans="1:37">
      <c r="A364" s="84">
        <v>44557</v>
      </c>
      <c r="B364" s="4" t="s">
        <v>620</v>
      </c>
      <c r="H364" s="84">
        <v>44191</v>
      </c>
      <c r="I364" s="4" t="s">
        <v>602</v>
      </c>
      <c r="O364" s="84">
        <v>43826</v>
      </c>
      <c r="P364" s="4" t="s">
        <v>617</v>
      </c>
      <c r="T364" s="2" t="s">
        <v>1748</v>
      </c>
      <c r="W364" s="84">
        <v>43461</v>
      </c>
      <c r="X364" s="4" t="s">
        <v>622</v>
      </c>
      <c r="AB364" s="2" t="s">
        <v>1749</v>
      </c>
      <c r="AE364" s="84">
        <v>43096</v>
      </c>
      <c r="AF364" s="4" t="s">
        <v>618</v>
      </c>
      <c r="AH364" s="2" t="s">
        <v>630</v>
      </c>
      <c r="AJ364" s="2" t="s">
        <v>1750</v>
      </c>
      <c r="AK364" s="2" t="s">
        <v>1751</v>
      </c>
    </row>
    <row r="365" ht="12.95" customHeight="1" spans="1:37">
      <c r="A365" s="84">
        <v>44558</v>
      </c>
      <c r="B365" s="4" t="s">
        <v>619</v>
      </c>
      <c r="H365" s="84">
        <v>44192</v>
      </c>
      <c r="I365" s="4" t="s">
        <v>603</v>
      </c>
      <c r="O365" s="84">
        <v>43827</v>
      </c>
      <c r="P365" s="4" t="s">
        <v>602</v>
      </c>
      <c r="W365" s="84">
        <v>43462</v>
      </c>
      <c r="X365" s="4" t="s">
        <v>617</v>
      </c>
      <c r="AB365" s="2" t="s">
        <v>1752</v>
      </c>
      <c r="AE365" s="84">
        <v>43097</v>
      </c>
      <c r="AF365" s="4" t="s">
        <v>622</v>
      </c>
      <c r="AH365" s="2" t="s">
        <v>635</v>
      </c>
      <c r="AJ365" s="2" t="s">
        <v>1753</v>
      </c>
      <c r="AK365" s="2" t="s">
        <v>1754</v>
      </c>
    </row>
    <row r="366" ht="12.95" customHeight="1" spans="1:36">
      <c r="A366" s="84">
        <v>44559</v>
      </c>
      <c r="B366" s="4" t="s">
        <v>618</v>
      </c>
      <c r="H366" s="84">
        <v>44193</v>
      </c>
      <c r="I366" s="4" t="s">
        <v>620</v>
      </c>
      <c r="M366" s="2" t="s">
        <v>1755</v>
      </c>
      <c r="O366" s="84">
        <v>43828</v>
      </c>
      <c r="P366" s="4" t="s">
        <v>603</v>
      </c>
      <c r="W366" s="84">
        <v>43463</v>
      </c>
      <c r="X366" s="4" t="s">
        <v>602</v>
      </c>
      <c r="AB366" s="2" t="s">
        <v>1756</v>
      </c>
      <c r="AE366" s="84">
        <v>43098</v>
      </c>
      <c r="AF366" s="4" t="s">
        <v>617</v>
      </c>
      <c r="AH366" s="2" t="s">
        <v>641</v>
      </c>
      <c r="AJ366" s="2" t="s">
        <v>1757</v>
      </c>
    </row>
    <row r="367" ht="12.95" customHeight="1" spans="1:32">
      <c r="A367" s="84">
        <v>44560</v>
      </c>
      <c r="B367" s="4" t="s">
        <v>622</v>
      </c>
      <c r="H367" s="84">
        <v>44194</v>
      </c>
      <c r="I367" s="4" t="s">
        <v>619</v>
      </c>
      <c r="M367" s="2" t="s">
        <v>1758</v>
      </c>
      <c r="O367" s="84">
        <v>43829</v>
      </c>
      <c r="P367" s="4" t="s">
        <v>620</v>
      </c>
      <c r="T367" s="2" t="s">
        <v>1759</v>
      </c>
      <c r="W367" s="84">
        <v>43464</v>
      </c>
      <c r="X367" s="4" t="s">
        <v>603</v>
      </c>
      <c r="AE367" s="84">
        <v>43099</v>
      </c>
      <c r="AF367" s="4" t="s">
        <v>602</v>
      </c>
    </row>
    <row r="368" ht="12.95" customHeight="1" spans="1:32">
      <c r="A368" s="84">
        <v>44561</v>
      </c>
      <c r="B368" s="4" t="s">
        <v>617</v>
      </c>
      <c r="H368" s="84">
        <v>44195</v>
      </c>
      <c r="I368" s="4" t="s">
        <v>618</v>
      </c>
      <c r="M368" s="2" t="s">
        <v>1760</v>
      </c>
      <c r="O368" s="84">
        <v>43830</v>
      </c>
      <c r="P368" s="4" t="s">
        <v>620</v>
      </c>
      <c r="T368" s="2" t="s">
        <v>1761</v>
      </c>
      <c r="W368" s="84">
        <v>43465</v>
      </c>
      <c r="X368" s="4" t="s">
        <v>620</v>
      </c>
      <c r="AE368" s="84">
        <v>43100</v>
      </c>
      <c r="AF368" s="4" t="s">
        <v>603</v>
      </c>
    </row>
    <row r="369" spans="1:32">
      <c r="A369" s="84">
        <v>44562</v>
      </c>
      <c r="B369" s="4" t="s">
        <v>602</v>
      </c>
      <c r="H369" s="84">
        <v>44196</v>
      </c>
      <c r="I369" s="4" t="s">
        <v>622</v>
      </c>
      <c r="M369" s="2" t="s">
        <v>1762</v>
      </c>
      <c r="O369" s="84"/>
      <c r="AE369" s="84"/>
      <c r="AF369" s="4"/>
    </row>
    <row r="370" spans="1:32">
      <c r="A370" s="84">
        <v>44563</v>
      </c>
      <c r="B370" s="4" t="s">
        <v>603</v>
      </c>
      <c r="H370" s="84">
        <v>44197</v>
      </c>
      <c r="I370" s="4" t="s">
        <v>617</v>
      </c>
      <c r="AE370" s="84"/>
      <c r="AF370" s="4"/>
    </row>
    <row r="371" spans="1:32">
      <c r="A371" s="84">
        <v>44564</v>
      </c>
      <c r="B371" s="4" t="s">
        <v>620</v>
      </c>
      <c r="H371" s="84">
        <v>44198</v>
      </c>
      <c r="I371" s="4" t="s">
        <v>602</v>
      </c>
      <c r="AE371" s="84"/>
      <c r="AF371" s="4"/>
    </row>
    <row r="372" spans="1:32">
      <c r="A372" s="84">
        <v>44565</v>
      </c>
      <c r="B372" s="4" t="s">
        <v>619</v>
      </c>
      <c r="H372" s="84">
        <v>44199</v>
      </c>
      <c r="I372" s="4" t="s">
        <v>603</v>
      </c>
      <c r="AE372" s="84"/>
      <c r="AF372" s="4"/>
    </row>
    <row r="373" spans="1:32">
      <c r="A373" s="84">
        <v>44566</v>
      </c>
      <c r="B373" s="4" t="s">
        <v>618</v>
      </c>
      <c r="H373" s="84">
        <v>44200</v>
      </c>
      <c r="I373" s="4" t="s">
        <v>620</v>
      </c>
      <c r="M373" s="2" t="s">
        <v>633</v>
      </c>
      <c r="AE373" s="84"/>
      <c r="AF373" s="4"/>
    </row>
    <row r="374" spans="1:32">
      <c r="A374" s="84">
        <v>44567</v>
      </c>
      <c r="B374" s="4" t="s">
        <v>622</v>
      </c>
      <c r="H374" s="84">
        <v>44201</v>
      </c>
      <c r="I374" s="4" t="s">
        <v>619</v>
      </c>
      <c r="M374" s="2" t="s">
        <v>639</v>
      </c>
      <c r="AE374" s="84"/>
      <c r="AF374" s="4"/>
    </row>
    <row r="375" spans="1:32">
      <c r="A375" s="84">
        <v>44568</v>
      </c>
      <c r="B375" s="4" t="s">
        <v>617</v>
      </c>
      <c r="H375" s="84">
        <v>44202</v>
      </c>
      <c r="I375" s="4" t="s">
        <v>618</v>
      </c>
      <c r="M375" s="2" t="s">
        <v>645</v>
      </c>
      <c r="AE375" s="84"/>
      <c r="AF375" s="4"/>
    </row>
    <row r="376" spans="1:32">
      <c r="A376" s="84">
        <v>44569</v>
      </c>
      <c r="B376" s="4" t="s">
        <v>602</v>
      </c>
      <c r="H376" s="84">
        <v>44203</v>
      </c>
      <c r="I376" s="4" t="s">
        <v>622</v>
      </c>
      <c r="M376" s="2" t="s">
        <v>648</v>
      </c>
      <c r="AE376" s="84"/>
      <c r="AF376" s="4"/>
    </row>
    <row r="377" spans="1:32">
      <c r="A377" s="84">
        <v>44570</v>
      </c>
      <c r="B377" s="4" t="s">
        <v>603</v>
      </c>
      <c r="H377" s="84">
        <v>44204</v>
      </c>
      <c r="I377" s="4" t="s">
        <v>617</v>
      </c>
      <c r="M377" s="2" t="s">
        <v>651</v>
      </c>
      <c r="AE377" s="84"/>
      <c r="AF377" s="4"/>
    </row>
    <row r="378" ht="15.6" spans="1:32">
      <c r="A378" s="84">
        <v>44571</v>
      </c>
      <c r="B378" s="4" t="s">
        <v>620</v>
      </c>
      <c r="H378" s="84">
        <v>44205</v>
      </c>
      <c r="I378" s="4" t="s">
        <v>602</v>
      </c>
      <c r="M378"/>
      <c r="AE378" s="84"/>
      <c r="AF378" s="4"/>
    </row>
    <row r="379" spans="1:32">
      <c r="A379" s="84">
        <v>44572</v>
      </c>
      <c r="B379" s="4" t="s">
        <v>619</v>
      </c>
      <c r="H379" s="84">
        <v>44206</v>
      </c>
      <c r="I379" s="4" t="s">
        <v>603</v>
      </c>
      <c r="AE379" s="84"/>
      <c r="AF379" s="4"/>
    </row>
    <row r="380" spans="1:32">
      <c r="A380" s="84">
        <v>44573</v>
      </c>
      <c r="B380" s="4" t="s">
        <v>618</v>
      </c>
      <c r="H380" s="84">
        <v>44207</v>
      </c>
      <c r="I380" s="4" t="s">
        <v>620</v>
      </c>
      <c r="M380" s="2" t="s">
        <v>664</v>
      </c>
      <c r="AE380" s="84"/>
      <c r="AF380" s="4"/>
    </row>
    <row r="381" spans="1:32">
      <c r="A381" s="84">
        <v>44574</v>
      </c>
      <c r="B381" s="4" t="s">
        <v>622</v>
      </c>
      <c r="H381" s="84">
        <v>44208</v>
      </c>
      <c r="I381" s="4" t="s">
        <v>619</v>
      </c>
      <c r="M381" s="2" t="s">
        <v>667</v>
      </c>
      <c r="AE381" s="84"/>
      <c r="AF381" s="4"/>
    </row>
    <row r="382" spans="1:32">
      <c r="A382" s="84">
        <v>44575</v>
      </c>
      <c r="B382" s="4" t="s">
        <v>617</v>
      </c>
      <c r="H382" s="84">
        <v>44209</v>
      </c>
      <c r="I382" s="4" t="s">
        <v>618</v>
      </c>
      <c r="M382" s="2" t="s">
        <v>672</v>
      </c>
      <c r="AE382" s="84"/>
      <c r="AF382" s="4"/>
    </row>
    <row r="383" spans="1:32">
      <c r="A383" s="84">
        <v>44576</v>
      </c>
      <c r="B383" s="4" t="s">
        <v>602</v>
      </c>
      <c r="H383" s="84">
        <v>44210</v>
      </c>
      <c r="I383" s="4" t="s">
        <v>622</v>
      </c>
      <c r="M383" s="2" t="s">
        <v>675</v>
      </c>
      <c r="AE383" s="84"/>
      <c r="AF383" s="4"/>
    </row>
    <row r="384" spans="1:32">
      <c r="A384" s="84">
        <v>44577</v>
      </c>
      <c r="B384" s="4" t="s">
        <v>603</v>
      </c>
      <c r="H384" s="84">
        <v>44211</v>
      </c>
      <c r="I384" s="4" t="s">
        <v>617</v>
      </c>
      <c r="M384" s="2" t="s">
        <v>679</v>
      </c>
      <c r="AE384" s="84"/>
      <c r="AF384" s="4"/>
    </row>
    <row r="385" spans="1:32">
      <c r="A385" s="84">
        <v>44578</v>
      </c>
      <c r="B385" s="4" t="s">
        <v>620</v>
      </c>
      <c r="H385" s="84">
        <v>44212</v>
      </c>
      <c r="I385" s="4" t="s">
        <v>602</v>
      </c>
      <c r="AE385" s="84"/>
      <c r="AF385" s="4"/>
    </row>
    <row r="386" spans="1:32">
      <c r="A386" s="84">
        <v>44579</v>
      </c>
      <c r="B386" s="4" t="s">
        <v>619</v>
      </c>
      <c r="H386" s="84">
        <v>44213</v>
      </c>
      <c r="I386" s="4" t="s">
        <v>603</v>
      </c>
      <c r="AE386" s="84"/>
      <c r="AF386" s="4"/>
    </row>
    <row r="387" spans="1:32">
      <c r="A387" s="84">
        <v>44580</v>
      </c>
      <c r="B387" s="4" t="s">
        <v>618</v>
      </c>
      <c r="H387" s="84">
        <v>44214</v>
      </c>
      <c r="I387" s="4" t="s">
        <v>620</v>
      </c>
      <c r="M387" s="2" t="s">
        <v>693</v>
      </c>
      <c r="AE387" s="84"/>
      <c r="AF387" s="4"/>
    </row>
    <row r="388" spans="1:32">
      <c r="A388" s="84">
        <v>44581</v>
      </c>
      <c r="B388" s="4" t="s">
        <v>622</v>
      </c>
      <c r="H388" s="84">
        <v>44215</v>
      </c>
      <c r="I388" s="4" t="s">
        <v>619</v>
      </c>
      <c r="M388" s="2" t="s">
        <v>698</v>
      </c>
      <c r="AE388" s="84"/>
      <c r="AF388" s="4"/>
    </row>
    <row r="389" spans="1:13">
      <c r="A389" s="84">
        <v>44582</v>
      </c>
      <c r="B389" s="4" t="s">
        <v>617</v>
      </c>
      <c r="H389" s="84">
        <v>44216</v>
      </c>
      <c r="I389" s="4" t="s">
        <v>618</v>
      </c>
      <c r="M389" s="2" t="s">
        <v>702</v>
      </c>
    </row>
  </sheetData>
  <mergeCells count="10">
    <mergeCell ref="H2:N2"/>
    <mergeCell ref="P2:V2"/>
    <mergeCell ref="AI5:AI11"/>
    <mergeCell ref="AP4:AP10"/>
    <mergeCell ref="AP11:AP17"/>
    <mergeCell ref="AP18:AP24"/>
    <mergeCell ref="AP25:AP31"/>
    <mergeCell ref="AP32:AP38"/>
    <mergeCell ref="AP39:AP45"/>
    <mergeCell ref="AP46:AP52"/>
  </mergeCells>
  <conditionalFormatting sqref="I4">
    <cfRule type="cellIs" dxfId="0" priority="7" stopIfTrue="1" operator="equal">
      <formula>"星期六"</formula>
    </cfRule>
    <cfRule type="cellIs" dxfId="1" priority="8" stopIfTrue="1" operator="equal">
      <formula>"星期日"</formula>
    </cfRule>
  </conditionalFormatting>
  <conditionalFormatting sqref="B4:B389">
    <cfRule type="cellIs" dxfId="1" priority="2" stopIfTrue="1" operator="equal">
      <formula>"星期日"</formula>
    </cfRule>
    <cfRule type="cellIs" dxfId="0" priority="1" stopIfTrue="1" operator="equal">
      <formula>"星期六"</formula>
    </cfRule>
  </conditionalFormatting>
  <conditionalFormatting sqref="I5:I8">
    <cfRule type="cellIs" dxfId="0" priority="5" stopIfTrue="1" operator="equal">
      <formula>"星期六"</formula>
    </cfRule>
    <cfRule type="cellIs" dxfId="1" priority="6" stopIfTrue="1" operator="equal">
      <formula>"星期日"</formula>
    </cfRule>
  </conditionalFormatting>
  <conditionalFormatting sqref="I9:I389">
    <cfRule type="cellIs" dxfId="0" priority="3" stopIfTrue="1" operator="equal">
      <formula>"星期六"</formula>
    </cfRule>
    <cfRule type="cellIs" dxfId="1" priority="4" stopIfTrue="1" operator="equal">
      <formula>"星期日"</formula>
    </cfRule>
  </conditionalFormatting>
  <conditionalFormatting sqref="P4:P368 AN254:AN290 AN4:AQ253 AF4:AF388 X4:X368">
    <cfRule type="cellIs" dxfId="0" priority="9" stopIfTrue="1" operator="equal">
      <formula>"星期六"</formula>
    </cfRule>
    <cfRule type="cellIs" dxfId="1" priority="10" stopIfTrue="1" operator="equal">
      <formula>"星期日"</formula>
    </cfRule>
  </conditionalFormatting>
  <pageMargins left="0.75" right="0.75" top="1" bottom="1" header="0.509027777777778" footer="0.509027777777778"/>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
  <sheetViews>
    <sheetView workbookViewId="0">
      <selection activeCell="F367" sqref="F367"/>
    </sheetView>
  </sheetViews>
  <sheetFormatPr defaultColWidth="9" defaultRowHeight="15.6"/>
  <cols>
    <col min="2" max="2" width="29.625" customWidth="1"/>
    <col min="3" max="3" width="21.125" customWidth="1"/>
    <col min="4" max="4" width="12.8"/>
    <col min="5" max="5" width="29.875" customWidth="1"/>
  </cols>
  <sheetData>
    <row r="1" ht="21.95" customHeight="1" spans="1:3">
      <c r="A1" s="77" t="s">
        <v>1763</v>
      </c>
      <c r="B1" s="77" t="s">
        <v>249</v>
      </c>
      <c r="C1" s="77" t="s">
        <v>1764</v>
      </c>
    </row>
    <row r="2" ht="23.1" customHeight="1" spans="1:3">
      <c r="A2" s="24" t="s">
        <v>1765</v>
      </c>
      <c r="B2" s="24" t="s">
        <v>1766</v>
      </c>
      <c r="C2" s="24" t="s">
        <v>339</v>
      </c>
    </row>
    <row r="3" ht="23.1" customHeight="1" spans="1:3">
      <c r="A3" s="24" t="s">
        <v>1767</v>
      </c>
      <c r="B3" s="24" t="s">
        <v>1768</v>
      </c>
      <c r="C3" s="24" t="s">
        <v>339</v>
      </c>
    </row>
    <row r="4" ht="23.1" customHeight="1" spans="1:3">
      <c r="A4" s="24" t="s">
        <v>1769</v>
      </c>
      <c r="B4" s="24" t="s">
        <v>1770</v>
      </c>
      <c r="C4" s="24" t="s">
        <v>339</v>
      </c>
    </row>
    <row r="5" ht="23.1" customHeight="1" spans="1:3">
      <c r="A5" s="24" t="s">
        <v>1771</v>
      </c>
      <c r="B5" s="24" t="s">
        <v>1772</v>
      </c>
      <c r="C5" s="24" t="s">
        <v>1773</v>
      </c>
    </row>
    <row r="6" ht="23.1" customHeight="1" spans="1:8">
      <c r="A6" s="24" t="s">
        <v>1774</v>
      </c>
      <c r="B6" s="24" t="s">
        <v>1775</v>
      </c>
      <c r="C6" s="24" t="s">
        <v>1776</v>
      </c>
      <c r="H6">
        <v>1767</v>
      </c>
    </row>
    <row r="7" ht="23.1" customHeight="1" spans="1:9">
      <c r="A7" s="24" t="s">
        <v>1777</v>
      </c>
      <c r="B7" s="24" t="s">
        <v>1778</v>
      </c>
      <c r="C7" s="24" t="s">
        <v>1779</v>
      </c>
      <c r="H7">
        <v>1303</v>
      </c>
      <c r="I7">
        <f t="shared" ref="I7:I9" si="0">H6-H7</f>
        <v>464</v>
      </c>
    </row>
    <row r="8" ht="23.1" customHeight="1" spans="1:9">
      <c r="A8" s="24" t="s">
        <v>1780</v>
      </c>
      <c r="B8" s="24" t="s">
        <v>1781</v>
      </c>
      <c r="C8" s="24" t="s">
        <v>1782</v>
      </c>
      <c r="H8">
        <v>839</v>
      </c>
      <c r="I8">
        <f t="shared" si="0"/>
        <v>464</v>
      </c>
    </row>
    <row r="9" ht="23.1" customHeight="1" spans="1:9">
      <c r="A9" s="24" t="s">
        <v>1783</v>
      </c>
      <c r="B9" s="24" t="s">
        <v>1784</v>
      </c>
      <c r="C9" s="24" t="s">
        <v>1779</v>
      </c>
      <c r="H9">
        <v>375</v>
      </c>
      <c r="I9">
        <f t="shared" si="0"/>
        <v>464</v>
      </c>
    </row>
    <row r="10" ht="23.1" customHeight="1" spans="1:3">
      <c r="A10" s="24" t="s">
        <v>1785</v>
      </c>
      <c r="B10" s="24" t="s">
        <v>1786</v>
      </c>
      <c r="C10" s="24" t="s">
        <v>1787</v>
      </c>
    </row>
    <row r="13" spans="4:4">
      <c r="D13">
        <f>16.97/14.82</f>
        <v>1.14507422402159</v>
      </c>
    </row>
  </sheetData>
  <pageMargins left="0.75" right="0.75" top="1" bottom="1" header="0.509027777777778" footer="0.509027777777778"/>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1"/>
  <sheetViews>
    <sheetView topLeftCell="A19" workbookViewId="0">
      <selection activeCell="F367" sqref="F367"/>
    </sheetView>
  </sheetViews>
  <sheetFormatPr defaultColWidth="9" defaultRowHeight="15.6"/>
  <cols>
    <col min="1" max="1" width="11.75" customWidth="1"/>
    <col min="3" max="3" width="16.625" customWidth="1"/>
    <col min="4" max="4" width="4.375" customWidth="1"/>
    <col min="6" max="6" width="7.875" customWidth="1"/>
    <col min="7" max="7" width="12.625"/>
    <col min="8" max="8" width="4.75" customWidth="1"/>
    <col min="9" max="9" width="9.375" style="9" customWidth="1"/>
    <col min="13" max="13" width="12" customWidth="1"/>
    <col min="14" max="14" width="14" customWidth="1"/>
    <col min="15" max="15" width="10" style="9" customWidth="1"/>
    <col min="16" max="16" width="14.125" customWidth="1"/>
    <col min="17" max="17" width="18.5" style="9" customWidth="1"/>
    <col min="18" max="18" width="9" style="9"/>
    <col min="19" max="19" width="12.375" customWidth="1"/>
    <col min="20" max="20" width="13.375" style="11" customWidth="1"/>
    <col min="21" max="21" width="9" style="9"/>
    <col min="22" max="22" width="11.5" style="11" customWidth="1"/>
  </cols>
  <sheetData>
    <row r="1" ht="30.95" customHeight="1" spans="1:6">
      <c r="A1" s="9" t="s">
        <v>1788</v>
      </c>
      <c r="B1" s="9"/>
      <c r="C1" s="9"/>
      <c r="D1" s="9"/>
      <c r="E1" s="9"/>
      <c r="F1" s="9"/>
    </row>
    <row r="2" s="31" customFormat="1" ht="15.95" customHeight="1" spans="1:22">
      <c r="A2" s="71" t="s">
        <v>1789</v>
      </c>
      <c r="B2" s="71"/>
      <c r="C2" s="71"/>
      <c r="D2" s="71"/>
      <c r="E2" s="71"/>
      <c r="F2" s="71"/>
      <c r="I2" s="9"/>
      <c r="O2" s="9"/>
      <c r="Q2" s="9"/>
      <c r="R2" s="9"/>
      <c r="S2" s="75" t="s">
        <v>1790</v>
      </c>
      <c r="T2" s="76" t="s">
        <v>1791</v>
      </c>
      <c r="U2" s="9">
        <f>973+1130</f>
        <v>2103</v>
      </c>
      <c r="V2" s="11"/>
    </row>
    <row r="3" spans="1:21">
      <c r="A3" t="s">
        <v>142</v>
      </c>
      <c r="B3" t="s">
        <v>1792</v>
      </c>
      <c r="C3" t="s">
        <v>1793</v>
      </c>
      <c r="N3" s="74" t="s">
        <v>1794</v>
      </c>
      <c r="P3" s="74" t="s">
        <v>1795</v>
      </c>
      <c r="S3" s="42"/>
      <c r="T3" s="76" t="s">
        <v>1796</v>
      </c>
      <c r="U3" s="9">
        <v>432</v>
      </c>
    </row>
    <row r="4" spans="1:21">
      <c r="A4" s="72">
        <v>43199</v>
      </c>
      <c r="B4">
        <v>90</v>
      </c>
      <c r="C4" t="s">
        <v>1797</v>
      </c>
      <c r="E4" s="9" t="s">
        <v>142</v>
      </c>
      <c r="F4" s="9" t="s">
        <v>1798</v>
      </c>
      <c r="G4" s="9" t="s">
        <v>1799</v>
      </c>
      <c r="H4" s="9"/>
      <c r="M4" s="42" t="s">
        <v>142</v>
      </c>
      <c r="N4" s="42" t="s">
        <v>58</v>
      </c>
      <c r="O4" s="74" t="s">
        <v>1792</v>
      </c>
      <c r="P4" s="42" t="s">
        <v>58</v>
      </c>
      <c r="Q4" s="74" t="s">
        <v>1792</v>
      </c>
      <c r="S4" s="42"/>
      <c r="T4" s="76" t="s">
        <v>1800</v>
      </c>
      <c r="U4" s="9">
        <f>660+130</f>
        <v>790</v>
      </c>
    </row>
    <row r="5" spans="1:21">
      <c r="A5" s="72">
        <v>43205</v>
      </c>
      <c r="B5">
        <v>40</v>
      </c>
      <c r="C5" t="s">
        <v>1801</v>
      </c>
      <c r="E5" s="9">
        <v>5.9</v>
      </c>
      <c r="F5">
        <v>1</v>
      </c>
      <c r="G5">
        <v>256</v>
      </c>
      <c r="M5" s="42" t="s">
        <v>1802</v>
      </c>
      <c r="N5" s="42" t="s">
        <v>1803</v>
      </c>
      <c r="O5" s="9">
        <v>349</v>
      </c>
      <c r="P5" s="42" t="s">
        <v>1804</v>
      </c>
      <c r="Q5" s="9">
        <v>714</v>
      </c>
      <c r="S5" s="42"/>
      <c r="T5" s="76" t="s">
        <v>1805</v>
      </c>
      <c r="U5" s="9">
        <v>140</v>
      </c>
    </row>
    <row r="6" spans="1:21">
      <c r="A6" s="72">
        <v>43206</v>
      </c>
      <c r="B6">
        <v>40</v>
      </c>
      <c r="C6" t="s">
        <v>1801</v>
      </c>
      <c r="E6" s="73" t="s">
        <v>1806</v>
      </c>
      <c r="F6">
        <v>1</v>
      </c>
      <c r="G6">
        <v>256</v>
      </c>
      <c r="M6" s="42" t="s">
        <v>1807</v>
      </c>
      <c r="N6" s="42" t="s">
        <v>1808</v>
      </c>
      <c r="O6" s="9">
        <v>150</v>
      </c>
      <c r="P6" s="42" t="s">
        <v>1809</v>
      </c>
      <c r="Q6" s="9">
        <v>300</v>
      </c>
      <c r="T6" s="76" t="s">
        <v>1810</v>
      </c>
      <c r="U6" s="9">
        <f>276+200</f>
        <v>476</v>
      </c>
    </row>
    <row r="7" spans="1:21">
      <c r="A7" s="72">
        <v>43207</v>
      </c>
      <c r="B7">
        <v>40</v>
      </c>
      <c r="C7" t="s">
        <v>1801</v>
      </c>
      <c r="E7" s="9">
        <v>5.11</v>
      </c>
      <c r="F7">
        <v>1</v>
      </c>
      <c r="G7">
        <v>256</v>
      </c>
      <c r="N7" s="42" t="s">
        <v>1811</v>
      </c>
      <c r="O7" s="9">
        <v>84</v>
      </c>
      <c r="T7" s="76" t="s">
        <v>1812</v>
      </c>
      <c r="U7" s="9">
        <v>123</v>
      </c>
    </row>
    <row r="8" spans="1:21">
      <c r="A8" s="72"/>
      <c r="E8" s="74">
        <v>5.12</v>
      </c>
      <c r="F8">
        <v>1</v>
      </c>
      <c r="G8">
        <v>270</v>
      </c>
      <c r="N8" s="42"/>
      <c r="T8" s="76" t="s">
        <v>1813</v>
      </c>
      <c r="U8" s="9">
        <v>160</v>
      </c>
    </row>
    <row r="9" spans="1:21">
      <c r="A9" s="72">
        <v>43208</v>
      </c>
      <c r="B9">
        <v>40</v>
      </c>
      <c r="C9" t="s">
        <v>1801</v>
      </c>
      <c r="E9" s="9">
        <v>5.13</v>
      </c>
      <c r="F9">
        <v>1</v>
      </c>
      <c r="G9">
        <v>256</v>
      </c>
      <c r="I9" s="9" t="s">
        <v>142</v>
      </c>
      <c r="J9" s="9" t="s">
        <v>1798</v>
      </c>
      <c r="K9" s="9" t="s">
        <v>1799</v>
      </c>
      <c r="N9" s="42" t="s">
        <v>1814</v>
      </c>
      <c r="O9" s="9">
        <v>240</v>
      </c>
      <c r="P9" s="42" t="s">
        <v>1814</v>
      </c>
      <c r="Q9" s="9">
        <v>240</v>
      </c>
      <c r="T9" s="76" t="s">
        <v>1815</v>
      </c>
      <c r="U9" s="9">
        <v>80</v>
      </c>
    </row>
    <row r="10" spans="1:21">
      <c r="A10" s="72">
        <v>43209</v>
      </c>
      <c r="B10">
        <v>40</v>
      </c>
      <c r="C10" t="s">
        <v>1816</v>
      </c>
      <c r="E10" s="74">
        <v>5.14</v>
      </c>
      <c r="F10">
        <v>1</v>
      </c>
      <c r="G10">
        <v>270</v>
      </c>
      <c r="I10" s="9">
        <v>5.9</v>
      </c>
      <c r="J10">
        <v>1</v>
      </c>
      <c r="K10">
        <v>256</v>
      </c>
      <c r="N10" s="42" t="s">
        <v>1817</v>
      </c>
      <c r="O10" s="9">
        <v>120</v>
      </c>
      <c r="P10" s="42" t="s">
        <v>1818</v>
      </c>
      <c r="Q10" s="9">
        <v>238</v>
      </c>
      <c r="S10" s="76" t="s">
        <v>376</v>
      </c>
      <c r="U10" s="9">
        <f>SUM(U2:U9)</f>
        <v>4304</v>
      </c>
    </row>
    <row r="11" spans="1:15">
      <c r="A11" s="72">
        <v>43209</v>
      </c>
      <c r="B11">
        <v>90</v>
      </c>
      <c r="C11" t="s">
        <v>1819</v>
      </c>
      <c r="E11" s="9">
        <v>5.15</v>
      </c>
      <c r="F11">
        <v>1</v>
      </c>
      <c r="G11">
        <v>270</v>
      </c>
      <c r="I11" s="73" t="s">
        <v>1806</v>
      </c>
      <c r="J11">
        <v>1</v>
      </c>
      <c r="K11">
        <v>256</v>
      </c>
      <c r="M11" s="42" t="s">
        <v>1820</v>
      </c>
      <c r="N11" s="42" t="s">
        <v>1821</v>
      </c>
      <c r="O11" s="9">
        <v>200</v>
      </c>
    </row>
    <row r="12" spans="1:18">
      <c r="A12" s="72" t="s">
        <v>376</v>
      </c>
      <c r="B12">
        <v>380</v>
      </c>
      <c r="E12" s="74">
        <v>5.16</v>
      </c>
      <c r="F12">
        <v>1</v>
      </c>
      <c r="G12">
        <v>256</v>
      </c>
      <c r="I12" s="9">
        <v>5.11</v>
      </c>
      <c r="J12">
        <v>1</v>
      </c>
      <c r="K12">
        <v>256</v>
      </c>
      <c r="M12" s="42" t="s">
        <v>1822</v>
      </c>
      <c r="N12" s="42" t="s">
        <v>1823</v>
      </c>
      <c r="O12" s="9">
        <v>331</v>
      </c>
      <c r="R12" s="9" t="s">
        <v>1824</v>
      </c>
    </row>
    <row r="13" spans="5:18">
      <c r="E13" s="9">
        <v>5.17</v>
      </c>
      <c r="F13">
        <v>1</v>
      </c>
      <c r="G13">
        <v>270</v>
      </c>
      <c r="I13" s="74">
        <v>5.12</v>
      </c>
      <c r="J13">
        <v>1</v>
      </c>
      <c r="K13">
        <v>236</v>
      </c>
      <c r="M13" s="74" t="s">
        <v>1825</v>
      </c>
      <c r="O13" s="9">
        <f>SUM(O5:O12)</f>
        <v>1474</v>
      </c>
      <c r="Q13" s="9">
        <f>SUM(Q5:Q11)</f>
        <v>1492</v>
      </c>
      <c r="R13" s="9">
        <f>O13+Q13</f>
        <v>2966</v>
      </c>
    </row>
    <row r="14" ht="15" customHeight="1" spans="1:17">
      <c r="A14" s="71" t="s">
        <v>1826</v>
      </c>
      <c r="B14" s="71"/>
      <c r="C14" s="71"/>
      <c r="D14" s="71"/>
      <c r="E14" s="74">
        <v>5.18</v>
      </c>
      <c r="F14">
        <v>1</v>
      </c>
      <c r="G14">
        <v>270</v>
      </c>
      <c r="I14" s="9">
        <v>5.13</v>
      </c>
      <c r="J14">
        <v>1</v>
      </c>
      <c r="K14">
        <v>256</v>
      </c>
      <c r="M14" s="9" t="s">
        <v>1827</v>
      </c>
      <c r="O14" s="9">
        <f>O13-R13/2</f>
        <v>-9</v>
      </c>
      <c r="Q14" s="9">
        <f>Q13-R13/2</f>
        <v>9</v>
      </c>
    </row>
    <row r="15" spans="1:20">
      <c r="A15" t="s">
        <v>142</v>
      </c>
      <c r="B15" t="s">
        <v>1792</v>
      </c>
      <c r="C15" t="s">
        <v>1793</v>
      </c>
      <c r="E15" s="9">
        <v>5.19</v>
      </c>
      <c r="F15">
        <v>1</v>
      </c>
      <c r="G15">
        <v>270</v>
      </c>
      <c r="I15" s="74">
        <v>5.14</v>
      </c>
      <c r="J15">
        <v>1</v>
      </c>
      <c r="K15">
        <v>270</v>
      </c>
      <c r="T15" s="76" t="s">
        <v>1828</v>
      </c>
    </row>
    <row r="16" spans="1:24">
      <c r="A16" s="72">
        <v>43204</v>
      </c>
      <c r="B16">
        <v>79</v>
      </c>
      <c r="C16" t="s">
        <v>1829</v>
      </c>
      <c r="E16" s="73" t="s">
        <v>151</v>
      </c>
      <c r="F16">
        <v>1</v>
      </c>
      <c r="G16">
        <v>267</v>
      </c>
      <c r="I16" s="9">
        <v>5.15</v>
      </c>
      <c r="J16">
        <v>1</v>
      </c>
      <c r="K16">
        <v>270</v>
      </c>
      <c r="N16">
        <v>5.9</v>
      </c>
      <c r="O16" s="9">
        <v>696</v>
      </c>
      <c r="P16" s="42" t="s">
        <v>1830</v>
      </c>
      <c r="Q16" s="74" t="s">
        <v>1831</v>
      </c>
      <c r="T16" s="74" t="s">
        <v>1794</v>
      </c>
      <c r="V16" s="74" t="s">
        <v>1795</v>
      </c>
      <c r="W16" s="9"/>
      <c r="X16" s="9"/>
    </row>
    <row r="17" spans="1:24">
      <c r="A17" s="72">
        <v>43204</v>
      </c>
      <c r="B17">
        <v>290</v>
      </c>
      <c r="C17" t="s">
        <v>1832</v>
      </c>
      <c r="E17" s="9">
        <v>5.21</v>
      </c>
      <c r="F17">
        <v>1</v>
      </c>
      <c r="G17">
        <v>270</v>
      </c>
      <c r="I17" s="74">
        <v>5.16</v>
      </c>
      <c r="J17">
        <v>1</v>
      </c>
      <c r="K17">
        <v>256</v>
      </c>
      <c r="N17">
        <v>5.9</v>
      </c>
      <c r="O17" s="9">
        <v>201</v>
      </c>
      <c r="P17" s="42" t="s">
        <v>1833</v>
      </c>
      <c r="S17" s="42" t="s">
        <v>142</v>
      </c>
      <c r="T17" s="42" t="s">
        <v>58</v>
      </c>
      <c r="U17" s="74" t="s">
        <v>1792</v>
      </c>
      <c r="V17" s="76" t="s">
        <v>58</v>
      </c>
      <c r="W17" s="74" t="s">
        <v>1792</v>
      </c>
      <c r="X17" s="9"/>
    </row>
    <row r="18" spans="1:24">
      <c r="A18" s="72">
        <v>43205</v>
      </c>
      <c r="B18">
        <v>290</v>
      </c>
      <c r="C18" t="s">
        <v>1832</v>
      </c>
      <c r="E18" s="74">
        <v>5.22</v>
      </c>
      <c r="F18">
        <v>1</v>
      </c>
      <c r="G18">
        <v>270</v>
      </c>
      <c r="I18" s="9">
        <v>5.17</v>
      </c>
      <c r="J18">
        <v>1</v>
      </c>
      <c r="K18">
        <v>256</v>
      </c>
      <c r="N18">
        <v>5.11</v>
      </c>
      <c r="O18" s="9">
        <v>236</v>
      </c>
      <c r="P18" s="42" t="s">
        <v>1833</v>
      </c>
      <c r="Q18" s="74" t="s">
        <v>1834</v>
      </c>
      <c r="S18" s="42" t="s">
        <v>1835</v>
      </c>
      <c r="T18" s="42" t="s">
        <v>1836</v>
      </c>
      <c r="U18" s="9">
        <v>400</v>
      </c>
      <c r="V18" s="76" t="s">
        <v>1837</v>
      </c>
      <c r="W18" s="9">
        <v>300</v>
      </c>
      <c r="X18" s="9"/>
    </row>
    <row r="19" spans="1:24">
      <c r="A19" s="72">
        <v>43206</v>
      </c>
      <c r="B19">
        <v>290</v>
      </c>
      <c r="C19" t="s">
        <v>1832</v>
      </c>
      <c r="E19" s="9">
        <v>5.23</v>
      </c>
      <c r="F19">
        <v>1</v>
      </c>
      <c r="G19">
        <v>270</v>
      </c>
      <c r="I19" s="74">
        <v>5.18</v>
      </c>
      <c r="J19">
        <v>1</v>
      </c>
      <c r="K19">
        <v>256</v>
      </c>
      <c r="N19">
        <v>5.13</v>
      </c>
      <c r="O19" s="9">
        <v>270</v>
      </c>
      <c r="P19" s="42" t="s">
        <v>1833</v>
      </c>
      <c r="Q19" s="74" t="s">
        <v>1838</v>
      </c>
      <c r="R19"/>
      <c r="T19" s="42" t="s">
        <v>1839</v>
      </c>
      <c r="U19" s="9">
        <v>186</v>
      </c>
      <c r="V19" s="76" t="s">
        <v>1840</v>
      </c>
      <c r="W19" s="9">
        <v>133</v>
      </c>
      <c r="X19" s="9"/>
    </row>
    <row r="20" spans="1:24">
      <c r="A20" s="72">
        <v>43207</v>
      </c>
      <c r="B20">
        <v>290</v>
      </c>
      <c r="C20" t="s">
        <v>1832</v>
      </c>
      <c r="E20" s="74">
        <v>5.24</v>
      </c>
      <c r="F20">
        <v>1</v>
      </c>
      <c r="G20">
        <v>256</v>
      </c>
      <c r="I20" s="9">
        <v>5.19</v>
      </c>
      <c r="J20">
        <v>1</v>
      </c>
      <c r="K20">
        <v>256</v>
      </c>
      <c r="N20" s="42">
        <v>5.14</v>
      </c>
      <c r="O20" s="9">
        <v>256</v>
      </c>
      <c r="P20" s="42" t="s">
        <v>1833</v>
      </c>
      <c r="Q20" s="74" t="s">
        <v>1841</v>
      </c>
      <c r="R20"/>
      <c r="T20" s="42" t="s">
        <v>1829</v>
      </c>
      <c r="U20" s="9">
        <v>130</v>
      </c>
      <c r="W20" s="9"/>
      <c r="X20" s="9"/>
    </row>
    <row r="21" spans="1:24">
      <c r="A21" s="72">
        <v>43208</v>
      </c>
      <c r="B21">
        <v>290</v>
      </c>
      <c r="C21" t="s">
        <v>1832</v>
      </c>
      <c r="F21" t="s">
        <v>376</v>
      </c>
      <c r="G21">
        <f>SUM(G5:G20)</f>
        <v>4233</v>
      </c>
      <c r="I21" s="73" t="s">
        <v>151</v>
      </c>
      <c r="J21">
        <v>1</v>
      </c>
      <c r="K21">
        <v>256</v>
      </c>
      <c r="N21">
        <v>5.14</v>
      </c>
      <c r="O21" s="9">
        <v>270</v>
      </c>
      <c r="P21" s="42" t="s">
        <v>1842</v>
      </c>
      <c r="Q21" s="74" t="s">
        <v>1843</v>
      </c>
      <c r="S21" s="42" t="s">
        <v>1844</v>
      </c>
      <c r="T21" s="42" t="s">
        <v>1840</v>
      </c>
      <c r="U21" s="9">
        <v>23</v>
      </c>
      <c r="V21" s="76" t="s">
        <v>1840</v>
      </c>
      <c r="W21" s="9">
        <v>132</v>
      </c>
      <c r="X21" s="9"/>
    </row>
    <row r="22" spans="1:24">
      <c r="A22" t="s">
        <v>376</v>
      </c>
      <c r="B22">
        <v>1529</v>
      </c>
      <c r="I22" s="9">
        <v>5.21</v>
      </c>
      <c r="J22">
        <v>1</v>
      </c>
      <c r="K22">
        <v>256</v>
      </c>
      <c r="N22">
        <v>5.14</v>
      </c>
      <c r="O22" s="9">
        <v>1500</v>
      </c>
      <c r="P22" s="42" t="s">
        <v>1842</v>
      </c>
      <c r="Q22" s="74" t="s">
        <v>1845</v>
      </c>
      <c r="T22"/>
      <c r="W22" s="9"/>
      <c r="X22" s="9" t="s">
        <v>1824</v>
      </c>
    </row>
    <row r="23" spans="7:24">
      <c r="G23">
        <f>G21+800+52+200</f>
        <v>5285</v>
      </c>
      <c r="I23" s="74">
        <v>5.22</v>
      </c>
      <c r="J23">
        <v>1</v>
      </c>
      <c r="K23">
        <v>256</v>
      </c>
      <c r="N23" s="42">
        <v>5.22</v>
      </c>
      <c r="O23" s="9">
        <v>768</v>
      </c>
      <c r="P23" s="42" t="s">
        <v>1833</v>
      </c>
      <c r="S23" s="74" t="s">
        <v>1825</v>
      </c>
      <c r="T23"/>
      <c r="U23" s="9">
        <f>SUM(U18:U21)</f>
        <v>739</v>
      </c>
      <c r="W23" s="9">
        <f>SUM(W18:W21)</f>
        <v>565</v>
      </c>
      <c r="X23" s="9">
        <f>U23+W23</f>
        <v>1304</v>
      </c>
    </row>
    <row r="24" spans="7:24">
      <c r="G24">
        <f>G23-696</f>
        <v>4589</v>
      </c>
      <c r="I24" s="9">
        <v>5.23</v>
      </c>
      <c r="J24">
        <v>1</v>
      </c>
      <c r="K24">
        <v>256</v>
      </c>
      <c r="N24" s="42">
        <v>5.23</v>
      </c>
      <c r="O24" s="9">
        <v>36</v>
      </c>
      <c r="P24" s="42" t="s">
        <v>1833</v>
      </c>
      <c r="S24" s="9" t="s">
        <v>1827</v>
      </c>
      <c r="T24"/>
      <c r="U24" s="9">
        <f>U23-X23/2</f>
        <v>87</v>
      </c>
      <c r="W24" s="9">
        <f>W23-X23/2</f>
        <v>-87</v>
      </c>
      <c r="X24" s="9"/>
    </row>
    <row r="25" spans="7:16">
      <c r="G25">
        <f>4233-696</f>
        <v>3537</v>
      </c>
      <c r="I25" s="74">
        <v>5.24</v>
      </c>
      <c r="J25">
        <v>1</v>
      </c>
      <c r="K25">
        <v>256</v>
      </c>
      <c r="N25" s="42" t="s">
        <v>376</v>
      </c>
      <c r="O25" s="9">
        <f>SUM(O16:O24)</f>
        <v>4233</v>
      </c>
      <c r="P25">
        <f>SUM(O17:O24)</f>
        <v>3537</v>
      </c>
    </row>
    <row r="26" spans="7:11">
      <c r="G26" s="42">
        <f>G24-G25-52-200</f>
        <v>800</v>
      </c>
      <c r="H26" s="42"/>
      <c r="I26" s="74" t="s">
        <v>1846</v>
      </c>
      <c r="J26">
        <v>1</v>
      </c>
      <c r="K26">
        <v>129</v>
      </c>
    </row>
    <row r="27" spans="9:19">
      <c r="I27" s="74"/>
      <c r="J27" s="42" t="s">
        <v>376</v>
      </c>
      <c r="K27">
        <f>SUM(K10:K26)</f>
        <v>4233</v>
      </c>
      <c r="L27" s="42">
        <f>256*16</f>
        <v>4096</v>
      </c>
      <c r="S27">
        <f>45*8</f>
        <v>360</v>
      </c>
    </row>
    <row r="28" spans="2:12">
      <c r="B28">
        <v>205</v>
      </c>
      <c r="C28">
        <v>55</v>
      </c>
      <c r="D28">
        <v>16</v>
      </c>
      <c r="E28">
        <f t="shared" ref="E28:E31" si="0">(B28*C28/50+25.4*D28)</f>
        <v>631.9</v>
      </c>
      <c r="F28">
        <f t="shared" ref="F28:F31" si="1">3.14*E28</f>
        <v>1984.166</v>
      </c>
      <c r="K28">
        <f>270*16</f>
        <v>4320</v>
      </c>
      <c r="L28">
        <f>K28-K27</f>
        <v>87</v>
      </c>
    </row>
    <row r="29" spans="2:12">
      <c r="B29">
        <v>205</v>
      </c>
      <c r="C29">
        <v>50</v>
      </c>
      <c r="D29">
        <v>17</v>
      </c>
      <c r="E29">
        <f t="shared" si="0"/>
        <v>636.8</v>
      </c>
      <c r="F29">
        <f t="shared" si="1"/>
        <v>1999.552</v>
      </c>
      <c r="K29">
        <v>10</v>
      </c>
      <c r="L29">
        <v>6</v>
      </c>
    </row>
    <row r="30" spans="2:13">
      <c r="B30">
        <v>255</v>
      </c>
      <c r="C30">
        <v>40</v>
      </c>
      <c r="D30">
        <v>20</v>
      </c>
      <c r="E30">
        <f t="shared" si="0"/>
        <v>712</v>
      </c>
      <c r="F30">
        <f t="shared" si="1"/>
        <v>2235.68</v>
      </c>
      <c r="K30">
        <f>K29*270</f>
        <v>2700</v>
      </c>
      <c r="L30">
        <f>L29*256</f>
        <v>1536</v>
      </c>
      <c r="M30">
        <f>K30+L30</f>
        <v>4236</v>
      </c>
    </row>
    <row r="31" spans="2:6">
      <c r="B31">
        <v>245</v>
      </c>
      <c r="C31">
        <v>35</v>
      </c>
      <c r="D31">
        <v>19</v>
      </c>
      <c r="E31">
        <f t="shared" si="0"/>
        <v>654.1</v>
      </c>
      <c r="F31">
        <f t="shared" si="1"/>
        <v>2053.874</v>
      </c>
    </row>
  </sheetData>
  <mergeCells count="9">
    <mergeCell ref="A1:D1"/>
    <mergeCell ref="A2:D2"/>
    <mergeCell ref="N3:O3"/>
    <mergeCell ref="P3:Q3"/>
    <mergeCell ref="A14:D14"/>
    <mergeCell ref="T16:U16"/>
    <mergeCell ref="V16:W16"/>
    <mergeCell ref="Q16:Q17"/>
    <mergeCell ref="Q22:Q24"/>
  </mergeCells>
  <pageMargins left="0.75" right="0.75" top="1" bottom="1" header="0.509027777777778" footer="0.509027777777778"/>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F367" sqref="F367"/>
    </sheetView>
  </sheetViews>
  <sheetFormatPr defaultColWidth="9" defaultRowHeight="18" customHeight="1" outlineLevelRow="7" outlineLevelCol="6"/>
  <cols>
    <col min="1" max="1" width="11.75" style="43" customWidth="1"/>
    <col min="2" max="2" width="14.75" style="44" customWidth="1"/>
    <col min="3" max="3" width="14.5" style="43" customWidth="1"/>
    <col min="4" max="5" width="16.125" style="43" customWidth="1"/>
    <col min="6" max="6" width="33.25" style="43" customWidth="1"/>
    <col min="7" max="256" width="9" style="43"/>
  </cols>
  <sheetData>
    <row r="1" s="58" customFormat="1" ht="36.95" customHeight="1" spans="1:7">
      <c r="A1" s="59" t="s">
        <v>1847</v>
      </c>
      <c r="B1" s="59"/>
      <c r="C1" s="59"/>
      <c r="D1" s="59"/>
      <c r="E1" s="59"/>
      <c r="F1" s="59"/>
      <c r="G1" s="60"/>
    </row>
    <row r="2" s="58" customFormat="1" ht="27" customHeight="1" spans="1:6">
      <c r="A2" s="61" t="s">
        <v>1848</v>
      </c>
      <c r="B2" s="61"/>
      <c r="C2" s="62" t="s">
        <v>1849</v>
      </c>
      <c r="D2" s="62"/>
      <c r="E2" s="63"/>
      <c r="F2" s="64"/>
    </row>
    <row r="3" s="58" customFormat="1" ht="27" customHeight="1" spans="1:6">
      <c r="A3" s="61" t="s">
        <v>1850</v>
      </c>
      <c r="B3" s="62" t="s">
        <v>1851</v>
      </c>
      <c r="C3" s="65" t="s">
        <v>1852</v>
      </c>
      <c r="D3" s="62" t="s">
        <v>1853</v>
      </c>
      <c r="E3" s="61" t="s">
        <v>1854</v>
      </c>
      <c r="F3" s="62" t="s">
        <v>1855</v>
      </c>
    </row>
    <row r="4" ht="27" customHeight="1" spans="1:6">
      <c r="A4" s="66" t="s">
        <v>1856</v>
      </c>
      <c r="B4" s="61"/>
      <c r="C4" s="62" t="s">
        <v>1857</v>
      </c>
      <c r="D4" s="62"/>
      <c r="E4" s="62"/>
      <c r="F4" s="62"/>
    </row>
    <row r="5" ht="32.1" customHeight="1" spans="1:6">
      <c r="A5" s="61" t="s">
        <v>1858</v>
      </c>
      <c r="B5" s="61"/>
      <c r="C5" s="67" t="s">
        <v>1859</v>
      </c>
      <c r="D5" s="68"/>
      <c r="E5" s="68"/>
      <c r="F5" s="68"/>
    </row>
    <row r="6" ht="27" customHeight="1" spans="1:6">
      <c r="A6" s="66" t="s">
        <v>1860</v>
      </c>
      <c r="B6" s="66"/>
      <c r="C6" s="62" t="s">
        <v>1861</v>
      </c>
      <c r="D6" s="62"/>
      <c r="E6" s="62"/>
      <c r="F6" s="62"/>
    </row>
    <row r="7" ht="54" customHeight="1" spans="1:6">
      <c r="A7" s="61" t="s">
        <v>1862</v>
      </c>
      <c r="B7" s="61"/>
      <c r="C7" s="69" t="s">
        <v>1863</v>
      </c>
      <c r="D7" s="70"/>
      <c r="E7" s="70"/>
      <c r="F7" s="70"/>
    </row>
    <row r="8" ht="54" customHeight="1" spans="1:6">
      <c r="A8" s="61" t="s">
        <v>1864</v>
      </c>
      <c r="B8" s="61"/>
      <c r="C8" s="67" t="s">
        <v>1865</v>
      </c>
      <c r="D8" s="67"/>
      <c r="E8" s="67"/>
      <c r="F8" s="67"/>
    </row>
  </sheetData>
  <mergeCells count="13">
    <mergeCell ref="A1:F1"/>
    <mergeCell ref="A2:B2"/>
    <mergeCell ref="C2:D2"/>
    <mergeCell ref="A4:B4"/>
    <mergeCell ref="C4:F4"/>
    <mergeCell ref="A5:B5"/>
    <mergeCell ref="C5:F5"/>
    <mergeCell ref="A6:B6"/>
    <mergeCell ref="C6:F6"/>
    <mergeCell ref="A7:B7"/>
    <mergeCell ref="C7:F7"/>
    <mergeCell ref="A8:B8"/>
    <mergeCell ref="C8:F8"/>
  </mergeCells>
  <pageMargins left="0.75" right="0.75" top="1" bottom="1" header="0.509027777777778" footer="0.509027777777778"/>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opLeftCell="C1" workbookViewId="0">
      <selection activeCell="F367" sqref="F367"/>
    </sheetView>
  </sheetViews>
  <sheetFormatPr defaultColWidth="9" defaultRowHeight="15.6" outlineLevelRow="5" outlineLevelCol="5"/>
  <cols>
    <col min="1" max="1" width="13.625" style="43" customWidth="1"/>
    <col min="2" max="2" width="4.75" style="44" customWidth="1"/>
    <col min="3" max="3" width="81.5" style="43" customWidth="1"/>
    <col min="4" max="4" width="1.25" style="43" customWidth="1"/>
    <col min="5" max="5" width="3" style="43" customWidth="1"/>
    <col min="6" max="6" width="40.875" style="43" customWidth="1"/>
    <col min="7" max="256" width="9" style="43"/>
  </cols>
  <sheetData>
    <row r="1" spans="2:6">
      <c r="B1" s="45" t="s">
        <v>1866</v>
      </c>
      <c r="C1" s="45"/>
      <c r="E1" s="45" t="s">
        <v>1867</v>
      </c>
      <c r="F1" s="45"/>
    </row>
    <row r="2" ht="18" customHeight="1" spans="1:6">
      <c r="A2" s="46" t="s">
        <v>407</v>
      </c>
      <c r="B2" s="47">
        <v>1</v>
      </c>
      <c r="C2" s="48" t="s">
        <v>1868</v>
      </c>
      <c r="E2" s="49">
        <v>1</v>
      </c>
      <c r="F2" s="48" t="s">
        <v>1869</v>
      </c>
    </row>
    <row r="3" ht="18" customHeight="1" spans="1:6">
      <c r="A3" s="50"/>
      <c r="B3" s="51">
        <v>2</v>
      </c>
      <c r="C3" s="52" t="s">
        <v>1870</v>
      </c>
      <c r="E3" s="53">
        <v>2</v>
      </c>
      <c r="F3" s="52" t="s">
        <v>1871</v>
      </c>
    </row>
    <row r="4" ht="18" customHeight="1" spans="1:6">
      <c r="A4" s="50"/>
      <c r="B4" s="51"/>
      <c r="C4" s="52" t="s">
        <v>1872</v>
      </c>
      <c r="E4" s="53">
        <v>3</v>
      </c>
      <c r="F4" s="52" t="s">
        <v>1873</v>
      </c>
    </row>
    <row r="5" ht="18" customHeight="1" spans="1:6">
      <c r="A5" s="50"/>
      <c r="B5" s="51">
        <v>3</v>
      </c>
      <c r="C5" s="52" t="s">
        <v>1874</v>
      </c>
      <c r="E5" s="53"/>
      <c r="F5" s="52"/>
    </row>
    <row r="6" ht="18" customHeight="1" spans="1:6">
      <c r="A6" s="54"/>
      <c r="B6" s="55">
        <v>4</v>
      </c>
      <c r="C6" s="56" t="s">
        <v>1873</v>
      </c>
      <c r="E6" s="57"/>
      <c r="F6" s="56"/>
    </row>
  </sheetData>
  <mergeCells count="4">
    <mergeCell ref="B1:C1"/>
    <mergeCell ref="E1:F1"/>
    <mergeCell ref="A2:A6"/>
    <mergeCell ref="B3:B4"/>
  </mergeCells>
  <pageMargins left="0.75" right="0.75" top="1" bottom="1" header="0.509027777777778" footer="0.509027777777778"/>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topLeftCell="C10" workbookViewId="0">
      <selection activeCell="F367" sqref="F367"/>
    </sheetView>
  </sheetViews>
  <sheetFormatPr defaultColWidth="9" defaultRowHeight="15.6" outlineLevelCol="5"/>
  <cols>
    <col min="1" max="1" width="9" hidden="1" customWidth="1"/>
    <col min="2" max="2" width="22.625" hidden="1" customWidth="1"/>
    <col min="3" max="3" width="6.75" customWidth="1"/>
    <col min="4" max="4" width="38.25" customWidth="1"/>
    <col min="5" max="5" width="21.375" customWidth="1"/>
    <col min="6" max="6" width="50.25" customWidth="1"/>
  </cols>
  <sheetData>
    <row r="1" ht="36.95" customHeight="1" spans="1:6">
      <c r="A1" s="9" t="s">
        <v>1875</v>
      </c>
      <c r="B1" s="9" t="s">
        <v>1876</v>
      </c>
      <c r="C1" s="40" t="s">
        <v>248</v>
      </c>
      <c r="D1" s="40" t="s">
        <v>1877</v>
      </c>
      <c r="E1" s="41" t="s">
        <v>1878</v>
      </c>
      <c r="F1" s="40" t="s">
        <v>1879</v>
      </c>
    </row>
    <row r="2" ht="27" customHeight="1" spans="1:6">
      <c r="A2" s="9" t="s">
        <v>1880</v>
      </c>
      <c r="B2" s="31" t="s">
        <v>1881</v>
      </c>
      <c r="C2" s="9">
        <v>1</v>
      </c>
      <c r="D2" s="30" t="s">
        <v>1882</v>
      </c>
      <c r="E2" s="9">
        <v>0</v>
      </c>
      <c r="F2" s="9"/>
    </row>
    <row r="3" ht="27" customHeight="1" spans="1:6">
      <c r="A3" s="9" t="s">
        <v>1883</v>
      </c>
      <c r="B3" s="31" t="s">
        <v>1884</v>
      </c>
      <c r="C3" s="9">
        <v>2</v>
      </c>
      <c r="D3" s="31" t="s">
        <v>1885</v>
      </c>
      <c r="E3" s="9">
        <v>0</v>
      </c>
      <c r="F3" s="9"/>
    </row>
    <row r="4" ht="27" customHeight="1" spans="1:6">
      <c r="A4" s="9" t="s">
        <v>1886</v>
      </c>
      <c r="B4" s="31" t="s">
        <v>1887</v>
      </c>
      <c r="C4" s="9">
        <v>3</v>
      </c>
      <c r="D4" s="31" t="s">
        <v>1888</v>
      </c>
      <c r="E4" s="9">
        <v>0</v>
      </c>
      <c r="F4" s="9"/>
    </row>
    <row r="5" ht="27" customHeight="1" spans="1:6">
      <c r="A5" s="9" t="s">
        <v>1889</v>
      </c>
      <c r="B5" s="31" t="s">
        <v>1890</v>
      </c>
      <c r="C5" s="9">
        <v>4</v>
      </c>
      <c r="D5" s="30" t="s">
        <v>1891</v>
      </c>
      <c r="E5" s="9">
        <v>0</v>
      </c>
      <c r="F5" s="9"/>
    </row>
    <row r="6" ht="27" customHeight="1" spans="1:6">
      <c r="A6" s="9" t="s">
        <v>1892</v>
      </c>
      <c r="B6" s="31" t="s">
        <v>1893</v>
      </c>
      <c r="C6" s="9">
        <v>5</v>
      </c>
      <c r="D6" s="30" t="s">
        <v>1894</v>
      </c>
      <c r="E6" s="9">
        <v>0</v>
      </c>
      <c r="F6" s="9"/>
    </row>
    <row r="7" ht="27" customHeight="1" spans="1:6">
      <c r="A7" s="9" t="s">
        <v>1895</v>
      </c>
      <c r="B7" s="31" t="s">
        <v>1896</v>
      </c>
      <c r="C7" s="9">
        <v>6</v>
      </c>
      <c r="D7" s="30" t="s">
        <v>1897</v>
      </c>
      <c r="E7" s="9">
        <v>0</v>
      </c>
      <c r="F7" s="9"/>
    </row>
    <row r="8" ht="27" customHeight="1" spans="1:6">
      <c r="A8" s="9" t="s">
        <v>1898</v>
      </c>
      <c r="B8" s="31" t="s">
        <v>1899</v>
      </c>
      <c r="C8" s="9">
        <v>7</v>
      </c>
      <c r="D8" s="31" t="s">
        <v>1900</v>
      </c>
      <c r="E8" s="9">
        <v>0</v>
      </c>
      <c r="F8" s="9"/>
    </row>
    <row r="16" ht="16.5" customHeight="1" spans="4:5">
      <c r="D16" s="42" t="s">
        <v>1901</v>
      </c>
      <c r="E16" s="42" t="s">
        <v>1902</v>
      </c>
    </row>
    <row r="17" ht="16.5" customHeight="1" spans="4:5">
      <c r="D17" s="42" t="s">
        <v>1903</v>
      </c>
      <c r="E17" s="42" t="s">
        <v>1904</v>
      </c>
    </row>
  </sheetData>
  <pageMargins left="0.75" right="0.75" top="1" bottom="1" header="0.509027777777778" footer="0.509027777777778"/>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F367" sqref="F367"/>
    </sheetView>
  </sheetViews>
  <sheetFormatPr defaultColWidth="9" defaultRowHeight="15.6" outlineLevelRow="3" outlineLevelCol="3"/>
  <cols>
    <col min="1" max="1" width="8.25" customWidth="1"/>
    <col min="2" max="2" width="4.75" customWidth="1"/>
    <col min="3" max="3" width="30.375" customWidth="1"/>
    <col min="4" max="4" width="92.125" customWidth="1"/>
  </cols>
  <sheetData>
    <row r="1" spans="1:4">
      <c r="A1" s="36"/>
      <c r="B1" s="36" t="s">
        <v>248</v>
      </c>
      <c r="C1" s="36" t="s">
        <v>1905</v>
      </c>
      <c r="D1" s="36" t="s">
        <v>87</v>
      </c>
    </row>
    <row r="2" spans="1:4">
      <c r="A2" s="35" t="s">
        <v>1906</v>
      </c>
      <c r="B2" s="36">
        <v>1</v>
      </c>
      <c r="C2" s="36" t="s">
        <v>1907</v>
      </c>
      <c r="D2" s="36" t="s">
        <v>1908</v>
      </c>
    </row>
    <row r="3" ht="78.95" customHeight="1" spans="1:4">
      <c r="A3" s="35"/>
      <c r="B3" s="36">
        <v>2</v>
      </c>
      <c r="C3" s="36" t="s">
        <v>1909</v>
      </c>
      <c r="D3" s="23" t="s">
        <v>1910</v>
      </c>
    </row>
    <row r="4" spans="1:4">
      <c r="A4" s="36" t="s">
        <v>88</v>
      </c>
      <c r="B4" s="37">
        <v>1</v>
      </c>
      <c r="C4" s="38" t="s">
        <v>1911</v>
      </c>
      <c r="D4" s="39"/>
    </row>
  </sheetData>
  <mergeCells count="2">
    <mergeCell ref="C4:D4"/>
    <mergeCell ref="A2:A3"/>
  </mergeCells>
  <pageMargins left="0.75" right="0.75" top="1" bottom="1" header="0.509027777777778" footer="0.509027777777778"/>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F367" sqref="F367"/>
    </sheetView>
  </sheetViews>
  <sheetFormatPr defaultColWidth="9" defaultRowHeight="15.6" outlineLevelCol="3"/>
  <cols>
    <col min="1" max="2" width="8.625" customWidth="1"/>
    <col min="3" max="3" width="30.125" customWidth="1"/>
  </cols>
  <sheetData>
    <row r="1" spans="1:3">
      <c r="A1" s="35" t="s">
        <v>1912</v>
      </c>
      <c r="B1" s="35"/>
      <c r="C1" s="35"/>
    </row>
    <row r="2" spans="1:4">
      <c r="A2" s="35" t="s">
        <v>1913</v>
      </c>
      <c r="B2" s="35" t="s">
        <v>1914</v>
      </c>
      <c r="C2" s="35" t="s">
        <v>1915</v>
      </c>
      <c r="D2" s="35"/>
    </row>
    <row r="3" spans="1:4">
      <c r="A3" s="35" t="s">
        <v>1916</v>
      </c>
      <c r="B3" s="35" t="s">
        <v>1917</v>
      </c>
      <c r="C3" s="35" t="s">
        <v>1918</v>
      </c>
      <c r="D3" s="35"/>
    </row>
    <row r="4" spans="1:4">
      <c r="A4" s="35" t="s">
        <v>1919</v>
      </c>
      <c r="B4" s="35" t="s">
        <v>1920</v>
      </c>
      <c r="C4" s="35" t="s">
        <v>1921</v>
      </c>
      <c r="D4" s="35"/>
    </row>
    <row r="5" spans="1:4">
      <c r="A5" s="35" t="s">
        <v>1922</v>
      </c>
      <c r="B5" s="175" t="s">
        <v>1923</v>
      </c>
      <c r="C5" s="35" t="s">
        <v>1924</v>
      </c>
      <c r="D5" s="35"/>
    </row>
    <row r="6" spans="1:4">
      <c r="A6" s="35" t="s">
        <v>1925</v>
      </c>
      <c r="B6" s="35" t="s">
        <v>1926</v>
      </c>
      <c r="C6" s="35" t="s">
        <v>1927</v>
      </c>
      <c r="D6" s="35"/>
    </row>
    <row r="7" spans="1:4">
      <c r="A7" s="35" t="s">
        <v>1928</v>
      </c>
      <c r="B7" s="175" t="s">
        <v>1929</v>
      </c>
      <c r="C7" s="35" t="s">
        <v>1930</v>
      </c>
      <c r="D7" s="35"/>
    </row>
    <row r="8" spans="1:4">
      <c r="A8" s="35" t="s">
        <v>1931</v>
      </c>
      <c r="B8" s="35" t="s">
        <v>1932</v>
      </c>
      <c r="C8" s="35" t="s">
        <v>1933</v>
      </c>
      <c r="D8" s="35"/>
    </row>
    <row r="9" spans="1:4">
      <c r="A9" s="35" t="s">
        <v>1934</v>
      </c>
      <c r="B9" s="35" t="s">
        <v>1934</v>
      </c>
      <c r="C9" s="35" t="s">
        <v>1935</v>
      </c>
      <c r="D9" s="35"/>
    </row>
    <row r="10" spans="1:4">
      <c r="A10" s="35" t="s">
        <v>1936</v>
      </c>
      <c r="B10" s="35" t="s">
        <v>1937</v>
      </c>
      <c r="C10" s="35" t="s">
        <v>1938</v>
      </c>
      <c r="D10" s="35"/>
    </row>
  </sheetData>
  <mergeCells count="1">
    <mergeCell ref="A1:C1"/>
  </mergeCells>
  <pageMargins left="0.75" right="0.75" top="1" bottom="1" header="0.509027777777778" footer="0.509027777777778"/>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F367" sqref="F367"/>
    </sheetView>
  </sheetViews>
  <sheetFormatPr defaultColWidth="9" defaultRowHeight="15.6" outlineLevelRow="7" outlineLevelCol="4"/>
  <cols>
    <col min="1" max="1" width="7" customWidth="1"/>
    <col min="2" max="2" width="71" style="32" customWidth="1"/>
    <col min="3" max="3" width="20" customWidth="1"/>
    <col min="4" max="4" width="9.375" customWidth="1"/>
    <col min="5" max="5" width="13.75" customWidth="1"/>
  </cols>
  <sheetData>
    <row r="1" ht="21.95" customHeight="1" spans="1:5">
      <c r="A1" s="1" t="s">
        <v>5</v>
      </c>
      <c r="B1" s="33" t="s">
        <v>1939</v>
      </c>
      <c r="C1" s="1" t="s">
        <v>1940</v>
      </c>
      <c r="D1" s="1" t="s">
        <v>1941</v>
      </c>
      <c r="E1" s="1" t="s">
        <v>88</v>
      </c>
    </row>
    <row r="2" ht="29.1" customHeight="1" spans="1:5">
      <c r="A2">
        <v>1</v>
      </c>
      <c r="B2" s="34" t="s">
        <v>1942</v>
      </c>
      <c r="C2" s="2" t="s">
        <v>1943</v>
      </c>
      <c r="E2" t="s">
        <v>1944</v>
      </c>
    </row>
    <row r="3" ht="69" customHeight="1" spans="1:5">
      <c r="A3">
        <v>2</v>
      </c>
      <c r="B3" s="34" t="s">
        <v>1945</v>
      </c>
      <c r="C3" s="2" t="s">
        <v>1946</v>
      </c>
      <c r="E3" t="s">
        <v>1947</v>
      </c>
    </row>
    <row r="4" ht="51" customHeight="1" spans="1:3">
      <c r="A4">
        <v>3</v>
      </c>
      <c r="B4" s="34" t="s">
        <v>1948</v>
      </c>
      <c r="C4" s="2" t="s">
        <v>1949</v>
      </c>
    </row>
    <row r="5" ht="18" customHeight="1" spans="1:4">
      <c r="A5">
        <v>4</v>
      </c>
      <c r="B5" s="34" t="s">
        <v>1950</v>
      </c>
      <c r="C5" s="2" t="s">
        <v>1951</v>
      </c>
      <c r="D5" t="s">
        <v>12</v>
      </c>
    </row>
    <row r="6" ht="33" customHeight="1" spans="1:3">
      <c r="A6">
        <v>5</v>
      </c>
      <c r="B6" s="34" t="s">
        <v>1952</v>
      </c>
      <c r="C6" s="2" t="s">
        <v>1953</v>
      </c>
    </row>
    <row r="7" ht="24" customHeight="1" spans="1:5">
      <c r="A7">
        <v>6</v>
      </c>
      <c r="B7" s="34" t="s">
        <v>1954</v>
      </c>
      <c r="C7" s="2" t="s">
        <v>1946</v>
      </c>
      <c r="E7" t="s">
        <v>1955</v>
      </c>
    </row>
    <row r="8" ht="21" customHeight="1" spans="1:3">
      <c r="A8">
        <v>7</v>
      </c>
      <c r="B8" s="34" t="s">
        <v>1956</v>
      </c>
      <c r="C8" s="2" t="s">
        <v>1946</v>
      </c>
    </row>
  </sheetData>
  <pageMargins left="0.75" right="0.75" top="1" bottom="1" header="0.509027777777778" footer="0.509027777777778"/>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12"/>
  <sheetViews>
    <sheetView workbookViewId="0">
      <selection activeCell="F367" sqref="F367"/>
    </sheetView>
  </sheetViews>
  <sheetFormatPr defaultColWidth="9" defaultRowHeight="15.6"/>
  <cols>
    <col min="1" max="1" width="20.375" customWidth="1"/>
    <col min="3" max="3" width="11.375" customWidth="1"/>
    <col min="8" max="8" width="9" style="9"/>
    <col min="15" max="15" width="60.375" customWidth="1"/>
  </cols>
  <sheetData>
    <row r="2" spans="1:8">
      <c r="A2" s="9" t="s">
        <v>1957</v>
      </c>
      <c r="B2" s="9" t="s">
        <v>1958</v>
      </c>
      <c r="C2" s="9"/>
      <c r="D2" s="9"/>
      <c r="H2" s="9">
        <v>1</v>
      </c>
    </row>
    <row r="3" ht="140.4" spans="1:15">
      <c r="A3" s="9"/>
      <c r="B3" t="s">
        <v>1959</v>
      </c>
      <c r="C3" t="s">
        <v>1960</v>
      </c>
      <c r="D3" t="s">
        <v>1961</v>
      </c>
      <c r="G3" s="9" t="s">
        <v>311</v>
      </c>
      <c r="H3" s="9">
        <v>2</v>
      </c>
      <c r="I3" s="30" t="s">
        <v>312</v>
      </c>
      <c r="J3" s="30" t="s">
        <v>313</v>
      </c>
      <c r="K3" s="31" t="s">
        <v>314</v>
      </c>
      <c r="L3" s="9">
        <v>6.28</v>
      </c>
      <c r="N3">
        <v>1</v>
      </c>
      <c r="O3" t="s">
        <v>1962</v>
      </c>
    </row>
    <row r="4" ht="27" customHeight="1" spans="1:15">
      <c r="A4" t="s">
        <v>1963</v>
      </c>
      <c r="B4" s="9" t="s">
        <v>1964</v>
      </c>
      <c r="C4" s="9" t="s">
        <v>1965</v>
      </c>
      <c r="D4" s="9" t="s">
        <v>1965</v>
      </c>
      <c r="G4" s="9"/>
      <c r="H4" s="9">
        <v>2</v>
      </c>
      <c r="I4" s="31" t="s">
        <v>315</v>
      </c>
      <c r="J4" s="31" t="s">
        <v>316</v>
      </c>
      <c r="K4" s="31" t="s">
        <v>317</v>
      </c>
      <c r="L4" s="9" t="s">
        <v>220</v>
      </c>
      <c r="N4">
        <v>2</v>
      </c>
      <c r="O4" t="s">
        <v>1966</v>
      </c>
    </row>
    <row r="5" ht="27" customHeight="1" spans="1:15">
      <c r="A5" t="s">
        <v>1967</v>
      </c>
      <c r="B5" s="9" t="s">
        <v>1964</v>
      </c>
      <c r="C5" s="9" t="s">
        <v>1965</v>
      </c>
      <c r="D5" s="9" t="s">
        <v>1965</v>
      </c>
      <c r="G5" s="9"/>
      <c r="H5" s="9">
        <v>3</v>
      </c>
      <c r="I5" s="31" t="s">
        <v>318</v>
      </c>
      <c r="J5" s="31" t="s">
        <v>319</v>
      </c>
      <c r="K5" s="31" t="s">
        <v>317</v>
      </c>
      <c r="L5" s="9">
        <v>7.1</v>
      </c>
      <c r="N5">
        <v>3</v>
      </c>
      <c r="O5" t="s">
        <v>1968</v>
      </c>
    </row>
    <row r="6" ht="27" customHeight="1" spans="1:15">
      <c r="A6" t="s">
        <v>1969</v>
      </c>
      <c r="B6" s="9" t="s">
        <v>1964</v>
      </c>
      <c r="C6" s="9" t="s">
        <v>1964</v>
      </c>
      <c r="D6" s="9" t="s">
        <v>1965</v>
      </c>
      <c r="G6" s="9"/>
      <c r="H6" s="9">
        <v>4</v>
      </c>
      <c r="I6" s="31" t="s">
        <v>320</v>
      </c>
      <c r="J6" s="31" t="s">
        <v>321</v>
      </c>
      <c r="K6" s="31" t="s">
        <v>317</v>
      </c>
      <c r="L6" s="9">
        <v>7.4</v>
      </c>
      <c r="N6">
        <v>4</v>
      </c>
      <c r="O6" t="s">
        <v>1970</v>
      </c>
    </row>
    <row r="7" ht="27" customHeight="1" spans="1:15">
      <c r="A7" t="s">
        <v>1971</v>
      </c>
      <c r="B7" s="9" t="s">
        <v>1964</v>
      </c>
      <c r="C7" s="9" t="s">
        <v>1964</v>
      </c>
      <c r="D7" s="9" t="s">
        <v>1965</v>
      </c>
      <c r="G7" s="9"/>
      <c r="H7" s="9">
        <v>5</v>
      </c>
      <c r="I7" s="31" t="s">
        <v>322</v>
      </c>
      <c r="J7" s="31" t="s">
        <v>323</v>
      </c>
      <c r="K7" s="31" t="s">
        <v>317</v>
      </c>
      <c r="L7" s="9">
        <v>7.5</v>
      </c>
      <c r="N7">
        <v>5</v>
      </c>
      <c r="O7" t="s">
        <v>1972</v>
      </c>
    </row>
    <row r="8" ht="27" customHeight="1" spans="1:12">
      <c r="A8" t="s">
        <v>1973</v>
      </c>
      <c r="B8" s="9" t="s">
        <v>1964</v>
      </c>
      <c r="C8" s="9" t="s">
        <v>1965</v>
      </c>
      <c r="D8" s="9" t="s">
        <v>1965</v>
      </c>
      <c r="G8" s="9" t="s">
        <v>324</v>
      </c>
      <c r="H8" s="9">
        <v>6</v>
      </c>
      <c r="I8" s="31" t="s">
        <v>325</v>
      </c>
      <c r="J8" s="31" t="s">
        <v>326</v>
      </c>
      <c r="K8" s="31" t="s">
        <v>317</v>
      </c>
      <c r="L8" s="9">
        <v>7.6</v>
      </c>
    </row>
    <row r="9" ht="27" customHeight="1" spans="1:12">
      <c r="A9" t="s">
        <v>1974</v>
      </c>
      <c r="B9" s="9" t="s">
        <v>1964</v>
      </c>
      <c r="C9" s="9" t="s">
        <v>1965</v>
      </c>
      <c r="D9" s="9" t="s">
        <v>1965</v>
      </c>
      <c r="G9" s="9"/>
      <c r="H9" s="9">
        <v>7</v>
      </c>
      <c r="I9" s="31" t="s">
        <v>327</v>
      </c>
      <c r="J9" s="31" t="s">
        <v>328</v>
      </c>
      <c r="K9" s="31" t="s">
        <v>317</v>
      </c>
      <c r="L9" s="9">
        <v>7.7</v>
      </c>
    </row>
    <row r="10" ht="27" customHeight="1" spans="1:12">
      <c r="A10" t="s">
        <v>1975</v>
      </c>
      <c r="B10" s="9" t="s">
        <v>1964</v>
      </c>
      <c r="C10" s="9" t="s">
        <v>1965</v>
      </c>
      <c r="D10" s="9" t="s">
        <v>1965</v>
      </c>
      <c r="G10" s="9"/>
      <c r="H10" s="9">
        <v>8</v>
      </c>
      <c r="I10" s="31" t="s">
        <v>329</v>
      </c>
      <c r="J10" s="30" t="s">
        <v>330</v>
      </c>
      <c r="K10" s="31" t="s">
        <v>317</v>
      </c>
      <c r="L10" s="9">
        <v>7.8</v>
      </c>
    </row>
    <row r="11" ht="27" customHeight="1" spans="1:12">
      <c r="A11" t="s">
        <v>1976</v>
      </c>
      <c r="B11" s="9" t="s">
        <v>1964</v>
      </c>
      <c r="C11" s="9" t="s">
        <v>1965</v>
      </c>
      <c r="D11" s="9" t="s">
        <v>1965</v>
      </c>
      <c r="G11" s="9"/>
      <c r="H11" s="9">
        <v>9</v>
      </c>
      <c r="I11" s="31" t="s">
        <v>331</v>
      </c>
      <c r="J11" s="31" t="s">
        <v>332</v>
      </c>
      <c r="K11" s="31" t="s">
        <v>317</v>
      </c>
      <c r="L11" s="9">
        <v>7.11</v>
      </c>
    </row>
    <row r="12" spans="1:4">
      <c r="A12" s="9" t="s">
        <v>1977</v>
      </c>
      <c r="B12" s="9"/>
      <c r="C12" s="9"/>
      <c r="D12" s="9"/>
    </row>
  </sheetData>
  <mergeCells count="5">
    <mergeCell ref="B2:D2"/>
    <mergeCell ref="A12:D12"/>
    <mergeCell ref="A2:A3"/>
    <mergeCell ref="G3:G7"/>
    <mergeCell ref="G8:G11"/>
  </mergeCells>
  <pageMargins left="0.75" right="0.75" top="1" bottom="1" header="0.509027777777778" footer="0.509027777777778"/>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K24"/>
  <sheetViews>
    <sheetView showGridLines="0" topLeftCell="A4" workbookViewId="0">
      <selection activeCell="F367" sqref="F367"/>
    </sheetView>
  </sheetViews>
  <sheetFormatPr defaultColWidth="9" defaultRowHeight="15.6"/>
  <cols>
    <col min="1" max="5" width="9" style="24"/>
    <col min="6" max="6" width="9.25" style="24" customWidth="1"/>
    <col min="7" max="256" width="9" style="24"/>
  </cols>
  <sheetData>
    <row r="1" s="24" customFormat="1" ht="14.4" spans="4:9">
      <c r="D1" s="25" t="s">
        <v>1978</v>
      </c>
      <c r="E1" s="25"/>
      <c r="F1" s="26" t="s">
        <v>1979</v>
      </c>
      <c r="G1" s="27"/>
      <c r="I1" s="25" t="s">
        <v>1980</v>
      </c>
    </row>
    <row r="9" s="24" customFormat="1" ht="14.4" spans="6:7">
      <c r="F9" s="28" t="s">
        <v>1981</v>
      </c>
      <c r="G9" s="28"/>
    </row>
    <row r="10" s="24" customFormat="1" ht="14.4" spans="6:7">
      <c r="F10" s="28"/>
      <c r="G10" s="28"/>
    </row>
    <row r="13" s="24" customFormat="1" ht="14.4" spans="9:9">
      <c r="I13" s="29"/>
    </row>
    <row r="14" s="24" customFormat="1" ht="14.4" spans="9:9">
      <c r="I14" s="29"/>
    </row>
    <row r="22" s="24" customFormat="1" ht="14.4" spans="11:11">
      <c r="K22" s="29"/>
    </row>
    <row r="23" s="24" customFormat="1" ht="14.4" spans="11:11">
      <c r="K23" s="29"/>
    </row>
    <row r="24" s="24" customFormat="1" ht="14.4" spans="11:11">
      <c r="K24" s="29"/>
    </row>
  </sheetData>
  <mergeCells count="3">
    <mergeCell ref="D1:E1"/>
    <mergeCell ref="F1:G1"/>
    <mergeCell ref="F9:G10"/>
  </mergeCells>
  <pageMargins left="0.75" right="0.75" top="1" bottom="1" header="0.509027777777778" footer="0.509027777777778"/>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pane ySplit="1" topLeftCell="A2" activePane="bottomLeft" state="frozen"/>
      <selection/>
      <selection pane="bottomLeft" activeCell="F367" sqref="F367"/>
    </sheetView>
  </sheetViews>
  <sheetFormatPr defaultColWidth="9" defaultRowHeight="15.6" outlineLevelCol="5"/>
  <cols>
    <col min="1" max="1" width="46.5" customWidth="1"/>
    <col min="2" max="2" width="8.875" customWidth="1"/>
    <col min="3" max="3" width="8.5" customWidth="1"/>
    <col min="4" max="4" width="16.75" customWidth="1"/>
    <col min="5" max="5" width="49" customWidth="1"/>
    <col min="6" max="6" width="29.125" customWidth="1"/>
  </cols>
  <sheetData>
    <row r="1" ht="35.1" customHeight="1" spans="1:6">
      <c r="A1" s="9" t="s">
        <v>1982</v>
      </c>
      <c r="B1" s="9" t="s">
        <v>1983</v>
      </c>
      <c r="C1" s="9" t="s">
        <v>1984</v>
      </c>
      <c r="D1" s="7" t="s">
        <v>1985</v>
      </c>
      <c r="E1" s="9" t="s">
        <v>1986</v>
      </c>
      <c r="F1" s="9" t="s">
        <v>1987</v>
      </c>
    </row>
    <row r="2" ht="20.1" customHeight="1" spans="1:5">
      <c r="A2" t="s">
        <v>1988</v>
      </c>
      <c r="B2">
        <v>1</v>
      </c>
      <c r="C2">
        <v>1</v>
      </c>
      <c r="D2">
        <v>3</v>
      </c>
      <c r="E2" t="s">
        <v>1989</v>
      </c>
    </row>
    <row r="3" ht="20.1" customHeight="1" spans="1:5">
      <c r="A3" t="s">
        <v>1990</v>
      </c>
      <c r="B3">
        <v>1</v>
      </c>
      <c r="C3">
        <v>1</v>
      </c>
      <c r="D3">
        <v>2</v>
      </c>
      <c r="E3" t="s">
        <v>1991</v>
      </c>
    </row>
    <row r="4" ht="20.1" customHeight="1" spans="1:6">
      <c r="A4" t="s">
        <v>1992</v>
      </c>
      <c r="B4">
        <v>1</v>
      </c>
      <c r="C4">
        <v>1</v>
      </c>
      <c r="D4">
        <v>2</v>
      </c>
      <c r="E4" t="s">
        <v>1993</v>
      </c>
      <c r="F4" s="8" t="s">
        <v>1994</v>
      </c>
    </row>
    <row r="5" ht="20.1" customHeight="1" spans="1:6">
      <c r="A5" t="s">
        <v>1995</v>
      </c>
      <c r="B5">
        <v>1</v>
      </c>
      <c r="C5">
        <v>1</v>
      </c>
      <c r="D5">
        <v>1</v>
      </c>
      <c r="E5" s="8" t="s">
        <v>1996</v>
      </c>
      <c r="F5" s="8" t="s">
        <v>1997</v>
      </c>
    </row>
    <row r="6" ht="20.1" customHeight="1" spans="1:5">
      <c r="A6" t="s">
        <v>1998</v>
      </c>
      <c r="B6">
        <v>1</v>
      </c>
      <c r="C6">
        <v>1</v>
      </c>
      <c r="D6">
        <v>1</v>
      </c>
      <c r="E6" t="s">
        <v>1999</v>
      </c>
    </row>
    <row r="7" ht="20.1" customHeight="1" spans="1:5">
      <c r="A7" s="1" t="s">
        <v>2000</v>
      </c>
      <c r="B7">
        <v>1</v>
      </c>
      <c r="C7">
        <v>1</v>
      </c>
      <c r="D7">
        <v>3</v>
      </c>
      <c r="E7" t="s">
        <v>2001</v>
      </c>
    </row>
    <row r="8" ht="20.1" customHeight="1" spans="1:5">
      <c r="A8" t="s">
        <v>2002</v>
      </c>
      <c r="C8">
        <v>1</v>
      </c>
      <c r="D8">
        <v>2</v>
      </c>
      <c r="E8" t="s">
        <v>2003</v>
      </c>
    </row>
    <row r="9" ht="20.1" customHeight="1" spans="1:5">
      <c r="A9" t="s">
        <v>2004</v>
      </c>
      <c r="D9">
        <v>4</v>
      </c>
      <c r="E9" t="s">
        <v>2005</v>
      </c>
    </row>
    <row r="10" ht="20.1" customHeight="1" spans="1:5">
      <c r="A10" t="s">
        <v>2006</v>
      </c>
      <c r="B10">
        <v>1</v>
      </c>
      <c r="C10">
        <v>1</v>
      </c>
      <c r="D10">
        <v>3</v>
      </c>
      <c r="E10" t="s">
        <v>1991</v>
      </c>
    </row>
    <row r="11" ht="20.1" customHeight="1" spans="1:5">
      <c r="A11" t="s">
        <v>2007</v>
      </c>
      <c r="B11">
        <v>1</v>
      </c>
      <c r="C11">
        <v>1</v>
      </c>
      <c r="D11">
        <v>1</v>
      </c>
      <c r="E11" t="s">
        <v>2008</v>
      </c>
    </row>
    <row r="12" ht="20.1" customHeight="1" spans="1:5">
      <c r="A12" t="s">
        <v>2009</v>
      </c>
      <c r="B12">
        <v>1</v>
      </c>
      <c r="C12">
        <v>1</v>
      </c>
      <c r="D12">
        <v>1</v>
      </c>
      <c r="E12" t="s">
        <v>1991</v>
      </c>
    </row>
    <row r="13" ht="20.1" customHeight="1" spans="1:5">
      <c r="A13" t="s">
        <v>2010</v>
      </c>
      <c r="C13" t="s">
        <v>1828</v>
      </c>
      <c r="D13">
        <v>1</v>
      </c>
      <c r="E13" t="s">
        <v>2011</v>
      </c>
    </row>
    <row r="14" ht="20.1" customHeight="1" spans="1:5">
      <c r="A14" t="s">
        <v>2012</v>
      </c>
      <c r="C14">
        <v>1</v>
      </c>
      <c r="D14">
        <v>4</v>
      </c>
      <c r="E14" t="s">
        <v>1991</v>
      </c>
    </row>
    <row r="15" ht="20.1" customHeight="1" spans="1:5">
      <c r="A15" t="s">
        <v>2013</v>
      </c>
      <c r="C15" t="s">
        <v>1828</v>
      </c>
      <c r="D15">
        <v>4</v>
      </c>
      <c r="E15" t="s">
        <v>1991</v>
      </c>
    </row>
    <row r="16" ht="20.1" customHeight="1" spans="1:5">
      <c r="A16" t="s">
        <v>2014</v>
      </c>
      <c r="B16">
        <v>1</v>
      </c>
      <c r="C16">
        <v>1</v>
      </c>
      <c r="D16">
        <v>2</v>
      </c>
      <c r="E16" t="s">
        <v>1991</v>
      </c>
    </row>
    <row r="17" ht="20.1" customHeight="1" spans="1:5">
      <c r="A17" t="s">
        <v>2015</v>
      </c>
      <c r="D17">
        <v>4</v>
      </c>
      <c r="E17" t="s">
        <v>1991</v>
      </c>
    </row>
    <row r="18" ht="20.1" customHeight="1" spans="1:5">
      <c r="A18" t="s">
        <v>2016</v>
      </c>
      <c r="B18">
        <v>1</v>
      </c>
      <c r="C18">
        <v>1</v>
      </c>
      <c r="D18">
        <v>4</v>
      </c>
      <c r="E18">
        <f>460/2399</f>
        <v>0.191746561067111</v>
      </c>
    </row>
    <row r="19" ht="15" customHeight="1"/>
  </sheetData>
  <autoFilter ref="A1:H18">
    <extLst/>
  </autoFilter>
  <pageMargins left="0.75" right="0.75" top="1" bottom="1" header="0.509027777777778" footer="0.509027777777778"/>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workbookViewId="0">
      <selection activeCell="F367" sqref="F367"/>
    </sheetView>
  </sheetViews>
  <sheetFormatPr defaultColWidth="9" defaultRowHeight="15.6"/>
  <cols>
    <col min="1" max="1" width="11" customWidth="1"/>
    <col min="2" max="2" width="17.125" customWidth="1"/>
    <col min="3" max="3" width="14.5" customWidth="1"/>
    <col min="4" max="4" width="11.375" customWidth="1"/>
    <col min="5" max="5" width="15" customWidth="1"/>
    <col min="6" max="6" width="14.25" style="9" customWidth="1"/>
    <col min="7" max="7" width="31.625" customWidth="1"/>
    <col min="8" max="8" width="11.375" customWidth="1"/>
    <col min="9" max="9" width="12.25" customWidth="1"/>
  </cols>
  <sheetData>
    <row r="1" ht="41.1" customHeight="1" spans="2:10">
      <c r="B1" s="10" t="s">
        <v>2017</v>
      </c>
      <c r="C1" s="10"/>
      <c r="D1" s="10"/>
      <c r="E1" s="10"/>
      <c r="F1" s="10"/>
      <c r="G1" s="10"/>
      <c r="H1" s="11"/>
      <c r="I1" s="11"/>
      <c r="J1" s="11"/>
    </row>
    <row r="2" ht="21.95" customHeight="1" spans="2:7">
      <c r="B2" s="12" t="s">
        <v>2018</v>
      </c>
      <c r="C2" s="13" t="s">
        <v>2019</v>
      </c>
      <c r="D2" s="13"/>
      <c r="E2" s="14"/>
      <c r="F2" s="14" t="s">
        <v>2020</v>
      </c>
      <c r="G2" s="15" t="s">
        <v>2021</v>
      </c>
    </row>
    <row r="3" ht="21.95" customHeight="1" spans="2:7">
      <c r="B3" s="16" t="s">
        <v>2022</v>
      </c>
      <c r="C3" s="9" t="s">
        <v>28</v>
      </c>
      <c r="D3" s="9"/>
      <c r="F3" t="s">
        <v>2023</v>
      </c>
      <c r="G3" s="17">
        <v>43088</v>
      </c>
    </row>
    <row r="4" ht="21.95" customHeight="1" spans="2:7">
      <c r="B4" s="16" t="s">
        <v>2024</v>
      </c>
      <c r="C4" s="9" t="s">
        <v>2025</v>
      </c>
      <c r="D4" s="9"/>
      <c r="F4" t="s">
        <v>2026</v>
      </c>
      <c r="G4" s="18" t="s">
        <v>2027</v>
      </c>
    </row>
    <row r="5" ht="21.95" customHeight="1" spans="2:7">
      <c r="B5" s="16" t="s">
        <v>2028</v>
      </c>
      <c r="C5" s="9" t="s">
        <v>2029</v>
      </c>
      <c r="D5" s="9"/>
      <c r="F5" t="s">
        <v>2030</v>
      </c>
      <c r="G5" s="18" t="s">
        <v>2031</v>
      </c>
    </row>
    <row r="6" ht="21.95" customHeight="1" spans="2:7">
      <c r="B6" s="19" t="s">
        <v>2032</v>
      </c>
      <c r="C6" s="20"/>
      <c r="D6" s="20"/>
      <c r="E6" s="20"/>
      <c r="F6" s="20"/>
      <c r="G6" s="21"/>
    </row>
    <row r="8" s="7" customFormat="1" ht="20.1" customHeight="1" spans="1:10">
      <c r="A8" s="22" t="s">
        <v>1763</v>
      </c>
      <c r="B8" s="22" t="s">
        <v>2033</v>
      </c>
      <c r="C8" s="22" t="s">
        <v>2034</v>
      </c>
      <c r="D8" s="22"/>
      <c r="E8" s="22"/>
      <c r="F8" s="22" t="s">
        <v>2035</v>
      </c>
      <c r="G8" s="22" t="s">
        <v>2036</v>
      </c>
      <c r="H8" s="22" t="s">
        <v>2037</v>
      </c>
      <c r="I8" s="22" t="s">
        <v>2038</v>
      </c>
      <c r="J8" s="22" t="s">
        <v>88</v>
      </c>
    </row>
    <row r="9" s="7" customFormat="1" ht="20.1" customHeight="1" spans="1:10">
      <c r="A9" s="22"/>
      <c r="B9" s="22"/>
      <c r="C9" s="22" t="s">
        <v>116</v>
      </c>
      <c r="D9" s="22" t="s">
        <v>2039</v>
      </c>
      <c r="E9" s="22" t="s">
        <v>3</v>
      </c>
      <c r="F9" s="22"/>
      <c r="G9" s="22"/>
      <c r="H9" s="22"/>
      <c r="I9" s="22"/>
      <c r="J9" s="22"/>
    </row>
    <row r="10" s="8" customFormat="1" ht="39" customHeight="1" spans="1:10">
      <c r="A10" s="23">
        <v>10001</v>
      </c>
      <c r="B10" s="23" t="s">
        <v>2040</v>
      </c>
      <c r="C10" s="23" t="s">
        <v>2041</v>
      </c>
      <c r="D10" s="23" t="s">
        <v>2042</v>
      </c>
      <c r="E10" s="23" t="s">
        <v>2043</v>
      </c>
      <c r="F10" s="22" t="s">
        <v>2044</v>
      </c>
      <c r="G10" s="23" t="s">
        <v>2045</v>
      </c>
      <c r="H10" s="23" t="s">
        <v>2046</v>
      </c>
      <c r="I10" s="23" t="s">
        <v>2046</v>
      </c>
      <c r="J10" s="23"/>
    </row>
    <row r="11" s="8" customFormat="1" ht="20.1" customHeight="1" spans="1:10">
      <c r="A11" s="23"/>
      <c r="B11" s="23"/>
      <c r="C11" s="23"/>
      <c r="D11" s="23"/>
      <c r="E11" s="23"/>
      <c r="F11" s="22"/>
      <c r="G11" s="23"/>
      <c r="H11" s="23"/>
      <c r="I11" s="23"/>
      <c r="J11" s="23"/>
    </row>
    <row r="12" s="8" customFormat="1" ht="20.1" customHeight="1" spans="1:10">
      <c r="A12" s="23"/>
      <c r="B12" s="23"/>
      <c r="C12" s="23"/>
      <c r="D12" s="23"/>
      <c r="E12" s="23"/>
      <c r="F12" s="22"/>
      <c r="G12" s="23"/>
      <c r="H12" s="23"/>
      <c r="I12" s="23"/>
      <c r="J12" s="23"/>
    </row>
    <row r="13" s="8" customFormat="1" ht="20.1" customHeight="1" spans="1:10">
      <c r="A13" s="23"/>
      <c r="B13" s="23"/>
      <c r="C13" s="23"/>
      <c r="D13" s="23"/>
      <c r="E13" s="23"/>
      <c r="F13" s="22"/>
      <c r="G13" s="23"/>
      <c r="H13" s="23"/>
      <c r="I13" s="23"/>
      <c r="J13" s="23"/>
    </row>
    <row r="14" s="8" customFormat="1" ht="20.1" customHeight="1" spans="1:10">
      <c r="A14" s="23"/>
      <c r="B14" s="23"/>
      <c r="C14" s="23"/>
      <c r="D14" s="23"/>
      <c r="E14" s="23"/>
      <c r="F14" s="22"/>
      <c r="G14" s="23"/>
      <c r="H14" s="23"/>
      <c r="I14" s="23"/>
      <c r="J14" s="23"/>
    </row>
    <row r="15" s="8" customFormat="1" ht="20.1" customHeight="1" spans="1:10">
      <c r="A15" s="23"/>
      <c r="B15" s="23"/>
      <c r="C15" s="23"/>
      <c r="D15" s="23"/>
      <c r="E15" s="23"/>
      <c r="F15" s="22"/>
      <c r="G15" s="23"/>
      <c r="H15" s="23"/>
      <c r="I15" s="23"/>
      <c r="J15" s="23"/>
    </row>
    <row r="16" s="8" customFormat="1" ht="20.1" customHeight="1" spans="1:10">
      <c r="A16" s="23"/>
      <c r="B16" s="23"/>
      <c r="C16" s="23"/>
      <c r="D16" s="23"/>
      <c r="E16" s="23"/>
      <c r="F16" s="22"/>
      <c r="G16" s="23"/>
      <c r="H16" s="23"/>
      <c r="I16" s="23"/>
      <c r="J16" s="23"/>
    </row>
    <row r="17" s="8" customFormat="1" ht="20.1" customHeight="1" spans="1:10">
      <c r="A17" s="23"/>
      <c r="B17" s="23"/>
      <c r="C17" s="23"/>
      <c r="D17" s="23"/>
      <c r="E17" s="23"/>
      <c r="F17" s="22"/>
      <c r="G17" s="23"/>
      <c r="H17" s="23"/>
      <c r="I17" s="23"/>
      <c r="J17" s="23"/>
    </row>
    <row r="18" s="8" customFormat="1" ht="20.1" customHeight="1" spans="1:10">
      <c r="A18" s="23"/>
      <c r="B18" s="23"/>
      <c r="C18" s="23"/>
      <c r="D18" s="23"/>
      <c r="E18" s="23"/>
      <c r="F18" s="22"/>
      <c r="G18" s="23"/>
      <c r="H18" s="23"/>
      <c r="I18" s="23"/>
      <c r="J18" s="23"/>
    </row>
    <row r="19" s="8" customFormat="1" ht="20.1" customHeight="1" spans="1:10">
      <c r="A19" s="23"/>
      <c r="B19" s="23"/>
      <c r="C19" s="23"/>
      <c r="D19" s="23"/>
      <c r="E19" s="23"/>
      <c r="F19" s="22"/>
      <c r="G19" s="23"/>
      <c r="H19" s="23"/>
      <c r="I19" s="23"/>
      <c r="J19" s="23"/>
    </row>
    <row r="20" s="8" customFormat="1" ht="20.1" customHeight="1" spans="1:10">
      <c r="A20" s="23"/>
      <c r="B20" s="23"/>
      <c r="C20" s="23"/>
      <c r="D20" s="23"/>
      <c r="E20" s="23"/>
      <c r="F20" s="22"/>
      <c r="G20" s="23"/>
      <c r="H20" s="23"/>
      <c r="I20" s="23"/>
      <c r="J20" s="23"/>
    </row>
    <row r="21" s="8" customFormat="1" ht="20.1" customHeight="1" spans="1:10">
      <c r="A21" s="23"/>
      <c r="B21" s="23"/>
      <c r="C21" s="23"/>
      <c r="D21" s="23"/>
      <c r="E21" s="23"/>
      <c r="F21" s="22"/>
      <c r="G21" s="23"/>
      <c r="H21" s="23"/>
      <c r="I21" s="23"/>
      <c r="J21" s="23"/>
    </row>
    <row r="22" s="8" customFormat="1" ht="20.1" customHeight="1" spans="1:10">
      <c r="A22" s="23"/>
      <c r="B22" s="23"/>
      <c r="C22" s="23"/>
      <c r="D22" s="23"/>
      <c r="E22" s="23"/>
      <c r="F22" s="22"/>
      <c r="G22" s="23"/>
      <c r="H22" s="23"/>
      <c r="I22" s="23"/>
      <c r="J22" s="23"/>
    </row>
    <row r="23" s="8" customFormat="1" ht="20.1" customHeight="1" spans="1:10">
      <c r="A23" s="23"/>
      <c r="B23" s="23"/>
      <c r="C23" s="23"/>
      <c r="D23" s="23"/>
      <c r="E23" s="23"/>
      <c r="F23" s="22"/>
      <c r="G23" s="23"/>
      <c r="H23" s="23"/>
      <c r="I23" s="23"/>
      <c r="J23" s="23"/>
    </row>
    <row r="24" s="8" customFormat="1" ht="20.1" customHeight="1" spans="1:10">
      <c r="A24" s="23"/>
      <c r="B24" s="23"/>
      <c r="C24" s="23"/>
      <c r="D24" s="23"/>
      <c r="E24" s="23"/>
      <c r="F24" s="22"/>
      <c r="G24" s="23"/>
      <c r="H24" s="23"/>
      <c r="I24" s="23"/>
      <c r="J24" s="23"/>
    </row>
    <row r="25" s="8" customFormat="1" ht="20.1" customHeight="1" spans="1:10">
      <c r="A25" s="23"/>
      <c r="B25" s="23"/>
      <c r="C25" s="23"/>
      <c r="D25" s="23"/>
      <c r="E25" s="23"/>
      <c r="F25" s="22"/>
      <c r="G25" s="23"/>
      <c r="H25" s="23"/>
      <c r="I25" s="23"/>
      <c r="J25" s="23"/>
    </row>
    <row r="26" s="8" customFormat="1" ht="20.1" customHeight="1" spans="1:10">
      <c r="A26" s="23"/>
      <c r="B26" s="23"/>
      <c r="C26" s="23"/>
      <c r="D26" s="23"/>
      <c r="E26" s="23"/>
      <c r="F26" s="22"/>
      <c r="G26" s="23"/>
      <c r="H26" s="23"/>
      <c r="I26" s="23"/>
      <c r="J26" s="23"/>
    </row>
    <row r="27" s="8" customFormat="1" ht="20.1" customHeight="1" spans="1:10">
      <c r="A27" s="23"/>
      <c r="B27" s="23"/>
      <c r="C27" s="23"/>
      <c r="D27" s="23"/>
      <c r="E27" s="23"/>
      <c r="F27" s="22"/>
      <c r="G27" s="23"/>
      <c r="H27" s="23"/>
      <c r="I27" s="23"/>
      <c r="J27" s="23"/>
    </row>
    <row r="28" s="8" customFormat="1" ht="20.1" customHeight="1" spans="1:10">
      <c r="A28" s="23"/>
      <c r="B28" s="23"/>
      <c r="C28" s="23"/>
      <c r="D28" s="23"/>
      <c r="E28" s="23"/>
      <c r="F28" s="22"/>
      <c r="G28" s="23"/>
      <c r="H28" s="23"/>
      <c r="I28" s="23"/>
      <c r="J28" s="23"/>
    </row>
    <row r="29" s="8" customFormat="1" ht="20.1" customHeight="1" spans="1:10">
      <c r="A29" s="23"/>
      <c r="B29" s="23"/>
      <c r="C29" s="23"/>
      <c r="D29" s="23"/>
      <c r="E29" s="23"/>
      <c r="F29" s="22"/>
      <c r="G29" s="23"/>
      <c r="H29" s="23"/>
      <c r="I29" s="23"/>
      <c r="J29" s="23"/>
    </row>
    <row r="30" s="8" customFormat="1" ht="20.1" customHeight="1" spans="1:10">
      <c r="A30" s="23"/>
      <c r="B30" s="23"/>
      <c r="C30" s="23"/>
      <c r="D30" s="23"/>
      <c r="E30" s="23"/>
      <c r="F30" s="22"/>
      <c r="G30" s="23"/>
      <c r="H30" s="23"/>
      <c r="I30" s="23"/>
      <c r="J30" s="23"/>
    </row>
    <row r="31" s="8" customFormat="1" ht="20.1" customHeight="1" spans="1:10">
      <c r="A31" s="23"/>
      <c r="B31" s="23"/>
      <c r="C31" s="23"/>
      <c r="D31" s="23"/>
      <c r="E31" s="23"/>
      <c r="F31" s="22"/>
      <c r="G31" s="23"/>
      <c r="H31" s="23"/>
      <c r="I31" s="23"/>
      <c r="J31" s="23"/>
    </row>
    <row r="32" s="8" customFormat="1" ht="20.1" customHeight="1" spans="1:10">
      <c r="A32" s="23"/>
      <c r="B32" s="23"/>
      <c r="C32" s="23"/>
      <c r="D32" s="23"/>
      <c r="E32" s="23"/>
      <c r="F32" s="22"/>
      <c r="G32" s="23"/>
      <c r="H32" s="23"/>
      <c r="I32" s="23"/>
      <c r="J32" s="23"/>
    </row>
    <row r="33" s="8" customFormat="1" ht="20.1" customHeight="1" spans="1:10">
      <c r="A33" s="23"/>
      <c r="B33" s="23"/>
      <c r="C33" s="23"/>
      <c r="D33" s="23"/>
      <c r="E33" s="23"/>
      <c r="F33" s="22"/>
      <c r="G33" s="23"/>
      <c r="H33" s="23"/>
      <c r="I33" s="23"/>
      <c r="J33" s="23"/>
    </row>
    <row r="34" s="8" customFormat="1" ht="20.1" customHeight="1" spans="1:10">
      <c r="A34" s="23"/>
      <c r="B34" s="23"/>
      <c r="C34" s="23"/>
      <c r="D34" s="23"/>
      <c r="E34" s="23"/>
      <c r="F34" s="22"/>
      <c r="G34" s="23"/>
      <c r="H34" s="23"/>
      <c r="I34" s="23"/>
      <c r="J34" s="23"/>
    </row>
    <row r="35" s="8" customFormat="1" ht="20.1" customHeight="1" spans="1:10">
      <c r="A35" s="23"/>
      <c r="B35" s="23"/>
      <c r="C35" s="23"/>
      <c r="D35" s="23"/>
      <c r="E35" s="23"/>
      <c r="F35" s="22"/>
      <c r="G35" s="23"/>
      <c r="H35" s="23"/>
      <c r="I35" s="23"/>
      <c r="J35" s="23"/>
    </row>
    <row r="36" s="8" customFormat="1" ht="20.1" customHeight="1" spans="1:10">
      <c r="A36" s="23"/>
      <c r="B36" s="23"/>
      <c r="C36" s="23"/>
      <c r="D36" s="23"/>
      <c r="E36" s="23"/>
      <c r="F36" s="22"/>
      <c r="G36" s="23"/>
      <c r="H36" s="23"/>
      <c r="I36" s="23"/>
      <c r="J36" s="23"/>
    </row>
    <row r="37" s="8" customFormat="1" ht="20.1" customHeight="1" spans="1:10">
      <c r="A37" s="23"/>
      <c r="B37" s="23"/>
      <c r="C37" s="23"/>
      <c r="D37" s="23"/>
      <c r="E37" s="23"/>
      <c r="F37" s="22"/>
      <c r="G37" s="23"/>
      <c r="H37" s="23"/>
      <c r="I37" s="23"/>
      <c r="J37" s="23"/>
    </row>
    <row r="38" s="8" customFormat="1" ht="20.1" customHeight="1" spans="1:10">
      <c r="A38" s="23"/>
      <c r="B38" s="23"/>
      <c r="C38" s="23"/>
      <c r="D38" s="23"/>
      <c r="E38" s="23"/>
      <c r="F38" s="22"/>
      <c r="G38" s="23"/>
      <c r="H38" s="23"/>
      <c r="I38" s="23"/>
      <c r="J38" s="23"/>
    </row>
    <row r="39" s="8" customFormat="1" ht="20.1" customHeight="1" spans="1:10">
      <c r="A39" s="23"/>
      <c r="B39" s="23"/>
      <c r="C39" s="23"/>
      <c r="D39" s="23"/>
      <c r="E39" s="23"/>
      <c r="F39" s="22"/>
      <c r="G39" s="23"/>
      <c r="H39" s="23"/>
      <c r="I39" s="23"/>
      <c r="J39" s="23"/>
    </row>
    <row r="40" s="8" customFormat="1" ht="20.1" customHeight="1" spans="1:10">
      <c r="A40" s="23"/>
      <c r="B40" s="23"/>
      <c r="C40" s="23"/>
      <c r="D40" s="23"/>
      <c r="E40" s="23"/>
      <c r="F40" s="22"/>
      <c r="G40" s="23"/>
      <c r="H40" s="23"/>
      <c r="I40" s="23"/>
      <c r="J40" s="23"/>
    </row>
    <row r="41" s="8" customFormat="1" ht="20.1" customHeight="1" spans="1:10">
      <c r="A41" s="23"/>
      <c r="B41" s="23"/>
      <c r="C41" s="23"/>
      <c r="D41" s="23"/>
      <c r="E41" s="23"/>
      <c r="F41" s="22"/>
      <c r="G41" s="23"/>
      <c r="H41" s="23"/>
      <c r="I41" s="23"/>
      <c r="J41" s="23"/>
    </row>
    <row r="42" s="8" customFormat="1" ht="20.1" customHeight="1" spans="1:10">
      <c r="A42" s="23"/>
      <c r="B42" s="23"/>
      <c r="C42" s="23"/>
      <c r="D42" s="23"/>
      <c r="E42" s="23"/>
      <c r="F42" s="22"/>
      <c r="G42" s="23"/>
      <c r="H42" s="23"/>
      <c r="I42" s="23"/>
      <c r="J42" s="23"/>
    </row>
    <row r="43" s="8" customFormat="1" ht="20.1" customHeight="1" spans="1:10">
      <c r="A43" s="23"/>
      <c r="B43" s="23"/>
      <c r="C43" s="23"/>
      <c r="D43" s="23"/>
      <c r="E43" s="23"/>
      <c r="F43" s="22"/>
      <c r="G43" s="23"/>
      <c r="H43" s="23"/>
      <c r="I43" s="23"/>
      <c r="J43" s="23"/>
    </row>
    <row r="44" s="8" customFormat="1" ht="20.1" customHeight="1" spans="1:10">
      <c r="A44" s="23"/>
      <c r="B44" s="23"/>
      <c r="C44" s="23"/>
      <c r="D44" s="23"/>
      <c r="E44" s="23"/>
      <c r="F44" s="22"/>
      <c r="G44" s="23"/>
      <c r="H44" s="23"/>
      <c r="I44" s="23"/>
      <c r="J44" s="23"/>
    </row>
    <row r="45" s="8" customFormat="1" ht="20.1" customHeight="1" spans="1:10">
      <c r="A45" s="23"/>
      <c r="B45" s="23"/>
      <c r="C45" s="23"/>
      <c r="D45" s="23"/>
      <c r="E45" s="23"/>
      <c r="F45" s="22"/>
      <c r="G45" s="23"/>
      <c r="H45" s="23"/>
      <c r="I45" s="23"/>
      <c r="J45" s="23"/>
    </row>
    <row r="46" s="8" customFormat="1" ht="20.1" customHeight="1" spans="1:10">
      <c r="A46" s="23"/>
      <c r="B46" s="23"/>
      <c r="C46" s="23"/>
      <c r="D46" s="23"/>
      <c r="E46" s="23"/>
      <c r="F46" s="22"/>
      <c r="G46" s="23"/>
      <c r="H46" s="23"/>
      <c r="I46" s="23"/>
      <c r="J46" s="23"/>
    </row>
  </sheetData>
  <mergeCells count="14">
    <mergeCell ref="B1:G1"/>
    <mergeCell ref="C2:D2"/>
    <mergeCell ref="C3:D3"/>
    <mergeCell ref="C4:D4"/>
    <mergeCell ref="C5:D5"/>
    <mergeCell ref="C6:G6"/>
    <mergeCell ref="C8:E8"/>
    <mergeCell ref="A8:A9"/>
    <mergeCell ref="B8:B9"/>
    <mergeCell ref="F8:F9"/>
    <mergeCell ref="G8:G9"/>
    <mergeCell ref="H8:H9"/>
    <mergeCell ref="I8:I9"/>
    <mergeCell ref="J8:J9"/>
  </mergeCells>
  <pageMargins left="0.75" right="0.75" top="1" bottom="1" header="0.509027777777778" footer="0.509027777777778"/>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F367" sqref="F367"/>
    </sheetView>
  </sheetViews>
  <sheetFormatPr defaultColWidth="9" defaultRowHeight="15.6" outlineLevelCol="4"/>
  <cols>
    <col min="1" max="1" width="12.75" customWidth="1"/>
    <col min="2" max="2" width="12.625" customWidth="1"/>
    <col min="3" max="3" width="36.125" customWidth="1"/>
    <col min="4" max="4" width="9.875" customWidth="1"/>
    <col min="5" max="5" width="11.125" customWidth="1"/>
  </cols>
  <sheetData>
    <row r="1" ht="30" customHeight="1" spans="1:5">
      <c r="A1" s="3" t="s">
        <v>2047</v>
      </c>
      <c r="B1" s="3"/>
      <c r="C1" s="3"/>
      <c r="D1" s="3"/>
      <c r="E1" s="3"/>
    </row>
    <row r="2" s="1" customFormat="1" ht="21.95" customHeight="1" spans="1:5">
      <c r="A2" s="1" t="s">
        <v>2048</v>
      </c>
      <c r="B2" s="1" t="s">
        <v>2049</v>
      </c>
      <c r="C2" s="1" t="s">
        <v>2050</v>
      </c>
      <c r="D2" s="1" t="s">
        <v>2051</v>
      </c>
      <c r="E2" s="1" t="s">
        <v>2052</v>
      </c>
    </row>
    <row r="3" s="2" customFormat="1" ht="18" customHeight="1" spans="1:5">
      <c r="A3" s="4" t="s">
        <v>42</v>
      </c>
      <c r="B3" s="2" t="s">
        <v>2053</v>
      </c>
      <c r="C3" s="2" t="s">
        <v>2054</v>
      </c>
      <c r="D3" s="2" t="s">
        <v>2055</v>
      </c>
      <c r="E3" s="2" t="s">
        <v>2056</v>
      </c>
    </row>
    <row r="4" s="2" customFormat="1" ht="18" customHeight="1" spans="1:5">
      <c r="A4" s="4"/>
      <c r="B4" s="2" t="s">
        <v>2057</v>
      </c>
      <c r="C4" s="2" t="s">
        <v>2058</v>
      </c>
      <c r="D4" s="2" t="s">
        <v>2055</v>
      </c>
      <c r="E4" s="2" t="s">
        <v>2056</v>
      </c>
    </row>
    <row r="5" s="2" customFormat="1" ht="18" customHeight="1" spans="1:5">
      <c r="A5" s="4"/>
      <c r="B5" s="2" t="s">
        <v>2059</v>
      </c>
      <c r="C5" s="2" t="s">
        <v>2058</v>
      </c>
      <c r="D5" s="5" t="s">
        <v>2060</v>
      </c>
      <c r="E5" s="2" t="s">
        <v>2056</v>
      </c>
    </row>
    <row r="6" s="2" customFormat="1" ht="18" customHeight="1" spans="1:5">
      <c r="A6" s="4"/>
      <c r="B6" s="2" t="s">
        <v>2061</v>
      </c>
      <c r="C6" s="2" t="s">
        <v>2058</v>
      </c>
      <c r="D6" s="2" t="s">
        <v>2055</v>
      </c>
      <c r="E6" s="2" t="s">
        <v>2056</v>
      </c>
    </row>
    <row r="7" s="2" customFormat="1" ht="18" customHeight="1" spans="1:5">
      <c r="A7" s="4" t="s">
        <v>45</v>
      </c>
      <c r="B7" s="2" t="s">
        <v>2062</v>
      </c>
      <c r="C7" s="2" t="s">
        <v>2058</v>
      </c>
      <c r="D7" s="2" t="s">
        <v>2055</v>
      </c>
      <c r="E7" s="2" t="s">
        <v>42</v>
      </c>
    </row>
    <row r="8" s="2" customFormat="1" ht="18" customHeight="1" spans="1:5">
      <c r="A8" s="4"/>
      <c r="B8" s="2" t="s">
        <v>2063</v>
      </c>
      <c r="C8" s="2" t="s">
        <v>2054</v>
      </c>
      <c r="D8" s="6" t="s">
        <v>2064</v>
      </c>
      <c r="E8" s="2" t="s">
        <v>42</v>
      </c>
    </row>
    <row r="9" s="2" customFormat="1" ht="18" customHeight="1" spans="1:5">
      <c r="A9" s="4"/>
      <c r="B9" s="2" t="s">
        <v>2065</v>
      </c>
      <c r="C9" s="2" t="s">
        <v>2066</v>
      </c>
      <c r="D9" s="5" t="s">
        <v>2060</v>
      </c>
      <c r="E9" s="2" t="s">
        <v>42</v>
      </c>
    </row>
    <row r="10" s="2" customFormat="1" ht="18" customHeight="1" spans="1:5">
      <c r="A10" s="4"/>
      <c r="B10" s="2" t="s">
        <v>2067</v>
      </c>
      <c r="C10" s="2" t="s">
        <v>2058</v>
      </c>
      <c r="D10" s="2" t="s">
        <v>2055</v>
      </c>
      <c r="E10" s="2" t="s">
        <v>42</v>
      </c>
    </row>
    <row r="11" s="2" customFormat="1" ht="18" customHeight="1" spans="1:5">
      <c r="A11" s="4" t="s">
        <v>2068</v>
      </c>
      <c r="B11" s="2" t="s">
        <v>2069</v>
      </c>
      <c r="C11" s="2" t="s">
        <v>2070</v>
      </c>
      <c r="D11" s="2" t="s">
        <v>2055</v>
      </c>
      <c r="E11" s="2" t="s">
        <v>42</v>
      </c>
    </row>
    <row r="12" s="2" customFormat="1" ht="18" customHeight="1" spans="1:5">
      <c r="A12" s="4"/>
      <c r="B12" s="2" t="s">
        <v>2071</v>
      </c>
      <c r="C12" s="2" t="s">
        <v>2072</v>
      </c>
      <c r="D12" s="6" t="s">
        <v>2064</v>
      </c>
      <c r="E12" s="2" t="s">
        <v>42</v>
      </c>
    </row>
    <row r="13" s="2" customFormat="1" ht="18" customHeight="1" spans="1:5">
      <c r="A13" s="4"/>
      <c r="B13" s="2" t="s">
        <v>2073</v>
      </c>
      <c r="C13" s="2" t="s">
        <v>2074</v>
      </c>
      <c r="D13" s="2" t="s">
        <v>2055</v>
      </c>
      <c r="E13" s="2" t="s">
        <v>42</v>
      </c>
    </row>
    <row r="14" s="2" customFormat="1" ht="18" customHeight="1" spans="1:5">
      <c r="A14" s="4"/>
      <c r="B14" s="2" t="s">
        <v>2075</v>
      </c>
      <c r="C14" s="2" t="s">
        <v>2074</v>
      </c>
      <c r="D14" s="2" t="s">
        <v>2055</v>
      </c>
      <c r="E14" s="2" t="s">
        <v>45</v>
      </c>
    </row>
    <row r="15" s="2" customFormat="1" ht="18" customHeight="1" spans="1:5">
      <c r="A15" s="4"/>
      <c r="B15" s="2" t="s">
        <v>2076</v>
      </c>
      <c r="C15" s="2" t="s">
        <v>2077</v>
      </c>
      <c r="D15" s="6" t="s">
        <v>2064</v>
      </c>
      <c r="E15" s="2" t="s">
        <v>45</v>
      </c>
    </row>
    <row r="16" s="2" customFormat="1" ht="18" customHeight="1" spans="1:5">
      <c r="A16" s="4"/>
      <c r="B16" s="2" t="s">
        <v>2078</v>
      </c>
      <c r="C16" s="2" t="s">
        <v>2074</v>
      </c>
      <c r="D16" s="2" t="s">
        <v>2055</v>
      </c>
      <c r="E16" s="2" t="s">
        <v>45</v>
      </c>
    </row>
  </sheetData>
  <mergeCells count="4">
    <mergeCell ref="A1:E1"/>
    <mergeCell ref="A3:A6"/>
    <mergeCell ref="A7:A10"/>
    <mergeCell ref="A11:A16"/>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工作任务</vt:lpstr>
      <vt:lpstr>交接表</vt:lpstr>
      <vt:lpstr>octopus需求</vt:lpstr>
      <vt:lpstr>工作6.8</vt:lpstr>
      <vt:lpstr>工作6.6</vt:lpstr>
      <vt:lpstr>2015日志</vt:lpstr>
      <vt:lpstr>2016计划</vt:lpstr>
      <vt:lpstr>会议记录</vt:lpstr>
      <vt:lpstr>学习计划</vt:lpstr>
      <vt:lpstr>任务工时统计</vt:lpstr>
      <vt:lpstr>环境</vt:lpstr>
      <vt:lpstr>license登记</vt:lpstr>
      <vt:lpstr>会议</vt:lpstr>
      <vt:lpstr>日志</vt:lpstr>
      <vt:lpstr>安全测试</vt:lpstr>
      <vt:lpstr>出差费用</vt:lpstr>
      <vt:lpstr>升级通知</vt:lpstr>
      <vt:lpstr>升级操作说明</vt:lpstr>
      <vt:lpstr>执行计划</vt:lpstr>
      <vt:lpstr>管理中心访问方式</vt:lpstr>
      <vt:lpstr>kettle转义</vt:lpstr>
      <vt:lpstr>食药监需求</vt:lpstr>
      <vt:lpstr>权限设计</vt:lpstr>
      <vt:lpstr>版本控制流程</vt:lpstr>
      <vt:lpstr>需求</vt:lpstr>
      <vt:lpstr>测试用例</vt:lpstr>
      <vt:lpstr>告警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陈国栋</dc:creator>
  <cp:lastModifiedBy>admin</cp:lastModifiedBy>
  <dcterms:created xsi:type="dcterms:W3CDTF">2016-02-18T02:54:00Z</dcterms:created>
  <dcterms:modified xsi:type="dcterms:W3CDTF">2021-03-19T10:02:08Z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